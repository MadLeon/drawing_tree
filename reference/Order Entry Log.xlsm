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131" codeName="{26A90621-87C4-6C01-FD6A-EE6E7C140903}"/>
  <fileSharing userName="MP" algorithmName="SHA-512" hashValue="CGuoPyBoRGwFkMp9SaL5x+J1KmIW4s82SBrgusIxYCG9LrER6RMM7+h9KJkz94tSmZVqECqBbA+6tuNnBLwldA==" saltValue="mT+ZP7r5ANWVe9qeJkLQsA==" spinCount="100000"/>
  <workbookPr backupFile="1" codeName="ThisWorkbook"/>
  <mc:AlternateContent xmlns:mc="http://schemas.openxmlformats.org/markup-compatibility/2006">
    <mc:Choice Requires="x15">
      <x15ac:absPath xmlns:x15ac="http://schemas.microsoft.com/office/spreadsheetml/2010/11/ac" url="\\192.168.0.194\oe\"/>
    </mc:Choice>
  </mc:AlternateContent>
  <xr:revisionPtr revIDLastSave="0" documentId="13_ncr:10001_{6414006D-FEC9-423D-A7A2-5FA3F14EFF3F}" xr6:coauthVersionLast="47" xr6:coauthVersionMax="47" xr10:uidLastSave="{00000000-0000-0000-0000-000000000000}"/>
  <bookViews>
    <workbookView xWindow="-110" yWindow="-110" windowWidth="19420" windowHeight="10300" tabRatio="728"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s>
  <functionGroups builtInGroupCount="19"/>
  <externalReferences>
    <externalReference r:id="rId12"/>
  </externalReferences>
  <definedNames>
    <definedName name="_xlnm._FilterDatabase" localSheetId="0" hidden="1">'DELIVERY SCHEDULE'!$A$3:$R$674</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Customers!$A$1:$A$81</definedName>
    <definedName name="Cust" localSheetId="3">Customers!$A$1:$A$81</definedName>
    <definedName name="Cust">Customers!$A$1:$A$81</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MP - Personal View" guid="{2383B994-5DA1-4BB7-BA01-728624653006}" mergeInterval="0" personalView="1" maximized="1" xWindow="1" yWindow="1" windowWidth="1916" windowHeight="749" tabRatio="693" activeSheetId="2"/>
    <customWorkbookView name="herlette - Personal View" guid="{2CF83A42-D815-4571-8877-DB621A116308}" mergeInterval="0" personalView="1" maximized="1" xWindow="1" yWindow="1" windowWidth="1916" windowHeight="869" tabRatio="693" activeSheetId="2"/>
    <customWorkbookView name="pcinsider@hotmail.com - Personal View" guid="{FFA6C093-E866-4B92-9807-8D478A2763D4}" autoUpdate="1" mergeInterval="15" personalView="1" maximized="1" xWindow="1" yWindow="1" windowWidth="1920" windowHeight="821"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42" i="2" l="1"/>
  <c r="H443" i="2"/>
  <c r="H444" i="2"/>
  <c r="H445" i="2"/>
  <c r="R409" i="2"/>
  <c r="E7" i="3"/>
  <c r="E66" i="2" l="1"/>
  <c r="L227" i="2"/>
  <c r="L228" i="2"/>
  <c r="L229" i="2"/>
  <c r="L230"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H294" i="2" l="1"/>
  <c r="H295" i="2"/>
  <c r="H296" i="2"/>
  <c r="H297" i="2"/>
  <c r="H301" i="2" s="1"/>
  <c r="H304" i="2" l="1"/>
  <c r="H303" i="2"/>
  <c r="H302" i="2"/>
  <c r="E43" i="3"/>
  <c r="E42" i="3" s="1"/>
  <c r="R4" i="2" l="1"/>
  <c r="D258" i="2" l="1"/>
  <c r="E258" i="2"/>
  <c r="F258" i="2"/>
  <c r="G258" i="2"/>
  <c r="H258" i="2"/>
  <c r="I258" i="2"/>
  <c r="J258" i="2"/>
  <c r="D259" i="2"/>
  <c r="E259" i="2"/>
  <c r="F259" i="2"/>
  <c r="G259" i="2"/>
  <c r="H259" i="2"/>
  <c r="I259" i="2"/>
  <c r="J259" i="2"/>
  <c r="P249" i="2"/>
  <c r="P250" i="2"/>
  <c r="P251" i="2"/>
  <c r="H249" i="2"/>
  <c r="H250" i="2"/>
  <c r="P227" i="2" l="1"/>
  <c r="P228" i="2"/>
  <c r="P229" i="2"/>
  <c r="P230" i="2"/>
  <c r="H227" i="2"/>
  <c r="H228" i="2"/>
  <c r="H229" i="2"/>
  <c r="H230" i="2"/>
  <c r="R340" i="2" l="1"/>
  <c r="R341" i="2"/>
  <c r="R342" i="2"/>
  <c r="R343" i="2"/>
  <c r="R344" i="2"/>
  <c r="R345" i="2"/>
  <c r="R346" i="2"/>
  <c r="R347" i="2"/>
  <c r="R348" i="2"/>
  <c r="R349" i="2"/>
  <c r="R350" i="2"/>
  <c r="R351" i="2"/>
  <c r="R352" i="2"/>
  <c r="R353" i="2"/>
  <c r="R354" i="2"/>
  <c r="R355"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E4" authorId="0" shapeId="0" xr:uid="{00000000-0006-0000-0000-000005000000}">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D11" authorId="0" shapeId="0" xr:uid="{00000000-0006-0000-0000-000009000000}">
      <text>
        <r>
          <rPr>
            <sz val="12"/>
            <color indexed="81"/>
            <rFont val="Arial"/>
            <family val="2"/>
          </rPr>
          <t>was previousl 32,000 changed to 81000 dec-12-2024
3000- pcs  Shipped-2/18/24
6000-pcs  Shipd- Jan-8-25
6000- pcs Shipd- Feb-4-2025
4500-pcs   Shipd- Feb-25-25
3000- pcs   shipd  may-6-25
3000-pcs   shipd   May-20-25
3000-pcs   shipd   July-29-25
1500 pcs  shipd    Sept-5-25
4500 pcs    shipe    Nov-5-2025
3000 pcs    shipd    Feb-12-26
3000 p s     shipd    Mar-26-26
3000 ps      shipd    April-15-26
3000-pcs    shipd    May-19-26
3000-pcs    shipd    June-17-26</t>
        </r>
      </text>
    </comment>
    <comment ref="M11" authorId="0" shapeId="0" xr:uid="{00000000-0006-0000-0000-00000A000000}">
      <text>
        <r>
          <rPr>
            <b/>
            <sz val="11"/>
            <color indexed="81"/>
            <rFont val="Vandra"/>
          </rPr>
          <t>PS# 44126      3000-pcs
PS# 44151      6000-pcs
PS# 44215     6000 pcs
PS# 44255    4500 pcs
PS# 44449     3000 pcs
PS# 44481     3000 pcs
PS# 44607     3000 pcs
PS# 44677     1500 pcs
PS# 44819       4500 pcs
PS# 44962      3000-pcs
PS# 45050      3000-pcs
PS# 45099      3000 pcs
PS# 45144      3000 pcs
PS3 45176      3000 pcs</t>
        </r>
      </text>
    </comment>
    <comment ref="N11" authorId="0" shapeId="0" xr:uid="{00000000-0006-0000-0000-00000B000000}">
      <text>
        <r>
          <rPr>
            <b/>
            <sz val="11"/>
            <color indexed="81"/>
            <rFont val="Vandra"/>
          </rPr>
          <t>3000 pcs
6000 pcs
6000- pcs
4500 pcs
3000 pcs
3000 pcs
3000 pcs
15000 ps
4500 ps
3000 pcs
3000 pcs
3000 pcs
3000 pcs</t>
        </r>
      </text>
    </comment>
    <comment ref="O11" authorId="0" shapeId="0" xr:uid="{00000000-0006-0000-0000-00000C000000}">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
Inv 53209  3,000 pcs 02/11/26
Inv 53284  3,000 pcs 03/26/26
Inv 53319  3,000 pcs 04/15/26
Inv 53394  3,000 pcs 05/19/26
INv 53421  3,000 pcs 06/18/26</t>
        </r>
      </text>
    </comment>
    <comment ref="Q11" authorId="0" shapeId="0" xr:uid="{00000000-0006-0000-0000-00000D000000}">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3000-pcs         shipped    02/12/26
3000-pcs         shipped    03-26-26
3000-pcs         shipped    04/15/26
3000-pcs         shipped     05/19/26
3000-pcs         shipped     06/17-26
</t>
        </r>
      </text>
    </comment>
    <comment ref="L13" authorId="0" shapeId="0" xr:uid="{00000000-0006-0000-0000-000012000000}">
      <text>
        <r>
          <rPr>
            <b/>
            <sz val="11"/>
            <color indexed="81"/>
            <rFont val="Vandra"/>
          </rPr>
          <t>Romania</t>
        </r>
      </text>
    </comment>
    <comment ref="O13" authorId="0" shapeId="0" xr:uid="{00000000-0006-0000-0000-000013000000}">
      <text>
        <r>
          <rPr>
            <b/>
            <sz val="11"/>
            <color indexed="81"/>
            <rFont val="Vandra"/>
          </rPr>
          <t>1st Milestone  25%   Inv# 52642
2nd Milestone 15%   inv# 52875</t>
        </r>
      </text>
    </comment>
    <comment ref="L14" authorId="0" shapeId="0" xr:uid="{00000000-0006-0000-0000-000014000000}">
      <text>
        <r>
          <rPr>
            <b/>
            <sz val="11"/>
            <color indexed="81"/>
            <rFont val="Vandra"/>
          </rPr>
          <t>Romania</t>
        </r>
      </text>
    </comment>
    <comment ref="D15" authorId="0" shapeId="0" xr:uid="{00000000-0006-0000-0000-000015000000}">
      <text>
        <r>
          <rPr>
            <b/>
            <sz val="11"/>
            <color indexed="81"/>
            <rFont val="Vandra"/>
          </rPr>
          <t>Qty increased per e-mail from Laila June-4-2025- and PO Rev.1
June-6-25- AS per conference Sherry said the QTY on the BOM it#7 only showed 1-pcs but in fact they require 2- pcs per each assy</t>
        </r>
      </text>
    </comment>
    <comment ref="L15" authorId="0" shapeId="0" xr:uid="{00000000-0006-0000-0000-000016000000}">
      <text>
        <r>
          <rPr>
            <b/>
            <sz val="12"/>
            <color indexed="81"/>
            <rFont val="Vandra"/>
          </rPr>
          <t>Romania</t>
        </r>
      </text>
    </comment>
    <comment ref="L17" authorId="0" shapeId="0" xr:uid="{00000000-0006-0000-0000-00001A000000}">
      <text>
        <r>
          <rPr>
            <b/>
            <sz val="12"/>
            <color indexed="81"/>
            <rFont val="Vandra"/>
          </rPr>
          <t xml:space="preserve">Qinshan
New Rev.1 Recvd June-19/25
</t>
        </r>
      </text>
    </comment>
    <comment ref="O17" authorId="0" shapeId="0" xr:uid="{00000000-0006-0000-0000-00001B000000}">
      <text>
        <r>
          <rPr>
            <b/>
            <sz val="11"/>
            <color indexed="81"/>
            <rFont val="Vandra"/>
          </rPr>
          <t>1st Milestone 25%   Inv# 52643
2nd Milestone 15%  Inv# 52859</t>
        </r>
      </text>
    </comment>
    <comment ref="L18" authorId="0" shapeId="0" xr:uid="{00000000-0006-0000-0000-00001C000000}">
      <text>
        <r>
          <rPr>
            <b/>
            <sz val="12"/>
            <color indexed="81"/>
            <rFont val="Vandra"/>
          </rPr>
          <t>Qinshan</t>
        </r>
      </text>
    </comment>
    <comment ref="D19" authorId="0" shapeId="0" xr:uid="{00000000-0006-0000-0000-00001D000000}">
      <text>
        <r>
          <rPr>
            <b/>
            <sz val="11"/>
            <color indexed="81"/>
            <rFont val="Vandra"/>
          </rPr>
          <t>Qty increased per e-mail from Laila June-4-2025-  Change order to follow
June-6-25- AS per conference Sherry said the QTY on the BOM it#7 only showed 1-pcs
but in fact they require2- pcs per each assy</t>
        </r>
      </text>
    </comment>
    <comment ref="L19" authorId="0" shapeId="0" xr:uid="{00000000-0006-0000-0000-00001E000000}">
      <text>
        <r>
          <rPr>
            <b/>
            <sz val="12"/>
            <color indexed="81"/>
            <rFont val="Vandra"/>
          </rPr>
          <t>Qinshan</t>
        </r>
      </text>
    </comment>
    <comment ref="C24" authorId="0" shapeId="0" xr:uid="{00000000-0006-0000-0000-000029000000}">
      <text>
        <r>
          <rPr>
            <b/>
            <sz val="11"/>
            <color indexed="81"/>
            <rFont val="Vandra"/>
          </rPr>
          <t xml:space="preserve">made for TMU , but Metonics will be paying per Olivier May-2-25
</t>
        </r>
      </text>
    </comment>
    <comment ref="K30" authorId="0" shapeId="0" xr:uid="{00000000-0006-0000-0000-00002A000000}">
      <text>
        <r>
          <rPr>
            <b/>
            <sz val="12"/>
            <color indexed="81"/>
            <rFont val="Vandra"/>
          </rPr>
          <t xml:space="preserve">new pricing reflects discount given for both RT79 &amp; RT 98 projects </t>
        </r>
      </text>
    </comment>
    <comment ref="L30" authorId="0" shapeId="0" xr:uid="{00000000-0006-0000-0000-00002B000000}">
      <text>
        <r>
          <rPr>
            <b/>
            <sz val="12"/>
            <color indexed="81"/>
            <rFont val="Vandra"/>
          </rPr>
          <t>Romania</t>
        </r>
      </text>
    </comment>
    <comment ref="O30" authorId="0" shapeId="0" xr:uid="{00000000-0006-0000-0000-00002C000000}">
      <text>
        <r>
          <rPr>
            <b/>
            <sz val="11"/>
            <color indexed="81"/>
            <rFont val="Vandra"/>
          </rPr>
          <t>1st Milestone  30%   Inv# 52699
2nd Milestone 15 %  Inv# 52863</t>
        </r>
      </text>
    </comment>
    <comment ref="P30" authorId="0" shapeId="0" xr:uid="{00000000-0006-0000-0000-00002D000000}">
      <text>
        <r>
          <rPr>
            <b/>
            <sz val="12"/>
            <color indexed="81"/>
            <rFont val="Vandra"/>
          </rPr>
          <t xml:space="preserve">Original PO Date was Oct-17-2025, but recvd PO Rev.2- on Mar-19-2025-  added RT 98 PO with discounts so the delivery date updated to Nov-24-25
</t>
        </r>
      </text>
    </comment>
    <comment ref="L31" authorId="0" shapeId="0" xr:uid="{00000000-0006-0000-0000-00002E000000}">
      <text>
        <r>
          <rPr>
            <b/>
            <sz val="12"/>
            <color indexed="81"/>
            <rFont val="Vandra"/>
          </rPr>
          <t>Romania</t>
        </r>
      </text>
    </comment>
    <comment ref="P31" authorId="0" shapeId="0" xr:uid="{00000000-0006-0000-0000-00002F000000}">
      <text>
        <r>
          <rPr>
            <b/>
            <sz val="12"/>
            <color indexed="81"/>
            <rFont val="Vandra"/>
          </rPr>
          <t xml:space="preserve">Original PO Date was Oct-17-2025, but recvd PO Rev.2- on Mar-19-2025-  added RT 98 PO with discounts so the delivery date updated to Nov-24-25
</t>
        </r>
      </text>
    </comment>
    <comment ref="L32" authorId="0" shapeId="0" xr:uid="{00000000-0006-0000-0000-000030000000}">
      <text>
        <r>
          <rPr>
            <b/>
            <sz val="12"/>
            <color indexed="81"/>
            <rFont val="Vandra"/>
          </rPr>
          <t>Romania</t>
        </r>
      </text>
    </comment>
    <comment ref="P32" authorId="0" shapeId="0" xr:uid="{00000000-0006-0000-0000-000031000000}">
      <text>
        <r>
          <rPr>
            <b/>
            <sz val="12"/>
            <color indexed="81"/>
            <rFont val="Vandra"/>
          </rPr>
          <t xml:space="preserve">Original PO Date was Oct-17-2025, but recvd PO Rev.2- on Mar-19-2025-  added RT 98 PO with discounts so the delivery date updated to Nov-24-25
</t>
        </r>
      </text>
    </comment>
    <comment ref="L33" authorId="0" shapeId="0" xr:uid="{00000000-0006-0000-0000-000032000000}">
      <text>
        <r>
          <rPr>
            <b/>
            <sz val="12"/>
            <color indexed="81"/>
            <rFont val="Vandra"/>
          </rPr>
          <t>Romania</t>
        </r>
      </text>
    </comment>
    <comment ref="P33" authorId="0" shapeId="0" xr:uid="{00000000-0006-0000-0000-000033000000}">
      <text>
        <r>
          <rPr>
            <b/>
            <sz val="12"/>
            <color indexed="81"/>
            <rFont val="Vandra"/>
          </rPr>
          <t xml:space="preserve">Original PO Date was Oct-17-2025, but recvd PO Rev.2- on Mar-19-2025-  added RT 98 PO with discounts so the delivery date updated to Nov-24-25
</t>
        </r>
      </text>
    </comment>
    <comment ref="L34" authorId="0" shapeId="0" xr:uid="{00000000-0006-0000-0000-000034000000}">
      <text>
        <r>
          <rPr>
            <b/>
            <sz val="12"/>
            <color indexed="81"/>
            <rFont val="Vandra"/>
          </rPr>
          <t>Romania</t>
        </r>
      </text>
    </comment>
    <comment ref="P34" authorId="0" shapeId="0" xr:uid="{00000000-0006-0000-0000-000035000000}">
      <text>
        <r>
          <rPr>
            <b/>
            <sz val="12"/>
            <color indexed="81"/>
            <rFont val="Vandra"/>
          </rPr>
          <t xml:space="preserve">Original PO Date was Oct-17-2025, but recvd PO Rev.2- on Mar-19-2025-  added RT 98 PO with discounts so the delivery date updated to Nov-24-25
</t>
        </r>
      </text>
    </comment>
    <comment ref="L35" authorId="0" shapeId="0" xr:uid="{00000000-0006-0000-0000-000036000000}">
      <text>
        <r>
          <rPr>
            <b/>
            <sz val="12"/>
            <color indexed="81"/>
            <rFont val="Vandra"/>
          </rPr>
          <t>Romania</t>
        </r>
      </text>
    </comment>
    <comment ref="P35" authorId="0" shapeId="0" xr:uid="{00000000-0006-0000-0000-000037000000}">
      <text>
        <r>
          <rPr>
            <b/>
            <sz val="12"/>
            <color indexed="81"/>
            <rFont val="Vandra"/>
          </rPr>
          <t xml:space="preserve">Original PO Date was Oct-17-2025, but recvd PO Rev.2- on Mar-19-2025-  added RT 98 PO with discounts so the delivery date updated to Nov-24-25
</t>
        </r>
      </text>
    </comment>
    <comment ref="L36" authorId="0" shapeId="0" xr:uid="{00000000-0006-0000-0000-000038000000}">
      <text>
        <r>
          <rPr>
            <b/>
            <sz val="12"/>
            <color indexed="81"/>
            <rFont val="Vandra"/>
          </rPr>
          <t>Romania</t>
        </r>
      </text>
    </comment>
    <comment ref="P36" authorId="0" shapeId="0" xr:uid="{00000000-0006-0000-0000-000039000000}">
      <text>
        <r>
          <rPr>
            <b/>
            <sz val="12"/>
            <color indexed="81"/>
            <rFont val="Vandra"/>
          </rPr>
          <t xml:space="preserve">Original PO Date was Oct-17-2025, but recvd PO Rev.2- on Mar-19-2025-  added RT 98 PO with discounts so the delivery date updated to Nov-24-25
</t>
        </r>
      </text>
    </comment>
    <comment ref="L37" authorId="0" shapeId="0" xr:uid="{00000000-0006-0000-0000-00003A000000}">
      <text>
        <r>
          <rPr>
            <b/>
            <sz val="12"/>
            <color indexed="81"/>
            <rFont val="Vandra"/>
          </rPr>
          <t>Romania</t>
        </r>
      </text>
    </comment>
    <comment ref="P37" authorId="0" shapeId="0" xr:uid="{00000000-0006-0000-0000-00003B000000}">
      <text>
        <r>
          <rPr>
            <b/>
            <sz val="12"/>
            <color indexed="81"/>
            <rFont val="Vandra"/>
          </rPr>
          <t xml:space="preserve">Original PO Date was Oct-17-2025, but recvd PO Rev.2- on Mar-19-2025-  added RT 98 PO with discounts so the delivery date updated to Nov-24-25
</t>
        </r>
      </text>
    </comment>
    <comment ref="L38" authorId="0" shapeId="0" xr:uid="{00000000-0006-0000-0000-00003C000000}">
      <text>
        <r>
          <rPr>
            <b/>
            <sz val="12"/>
            <color indexed="81"/>
            <rFont val="Vandra"/>
          </rPr>
          <t>Romania</t>
        </r>
      </text>
    </comment>
    <comment ref="P38" authorId="0" shapeId="0" xr:uid="{00000000-0006-0000-0000-00003D000000}">
      <text>
        <r>
          <rPr>
            <b/>
            <sz val="12"/>
            <color indexed="81"/>
            <rFont val="Vandra"/>
          </rPr>
          <t xml:space="preserve">Original PO Date was Oct-17-2025, but recvd PO Rev.2- on Mar-19-2025-  added RT 98 PO with discounts so the delivery date updated to Nov-24-25
</t>
        </r>
      </text>
    </comment>
    <comment ref="K40" authorId="0" shapeId="0" xr:uid="{00000000-0006-0000-0000-00003E000000}">
      <text>
        <r>
          <rPr>
            <b/>
            <sz val="12"/>
            <color indexed="81"/>
            <rFont val="Vandra"/>
          </rPr>
          <t xml:space="preserve">new pricing reflects discount given for both RT79 &amp; RT 98 projects </t>
        </r>
      </text>
    </comment>
    <comment ref="L40" authorId="0" shapeId="0" xr:uid="{00000000-0006-0000-0000-00003F000000}">
      <text>
        <r>
          <rPr>
            <b/>
            <sz val="12"/>
            <color indexed="81"/>
            <rFont val="Vandra"/>
          </rPr>
          <t>Qinshan</t>
        </r>
      </text>
    </comment>
    <comment ref="O40" authorId="0" shapeId="0" xr:uid="{00000000-0006-0000-0000-000040000000}">
      <text>
        <r>
          <rPr>
            <b/>
            <sz val="11"/>
            <color indexed="81"/>
            <rFont val="Vandra"/>
          </rPr>
          <t>1st Milestone   30%   Inv# 52700
2nd Milestone   15%  Inv# 52864</t>
        </r>
      </text>
    </comment>
    <comment ref="P40" authorId="0" shapeId="0" xr:uid="{00000000-0006-0000-0000-000041000000}">
      <text>
        <r>
          <rPr>
            <b/>
            <sz val="12"/>
            <color indexed="81"/>
            <rFont val="Vandra"/>
          </rPr>
          <t xml:space="preserve">Original PO Date was Oct-17-2025, but recvd PO Rev.2- on Mar-19-2025-  added RT 98 PO with discounts so the delivery date updated to Nov-24-25
</t>
        </r>
      </text>
    </comment>
    <comment ref="L41" authorId="0" shapeId="0" xr:uid="{00000000-0006-0000-0000-000042000000}">
      <text>
        <r>
          <rPr>
            <b/>
            <sz val="12"/>
            <color indexed="81"/>
            <rFont val="Vandra"/>
          </rPr>
          <t>Qinshan</t>
        </r>
      </text>
    </comment>
    <comment ref="P41" authorId="0" shapeId="0" xr:uid="{00000000-0006-0000-0000-000043000000}">
      <text>
        <r>
          <rPr>
            <b/>
            <sz val="12"/>
            <color indexed="81"/>
            <rFont val="Vandra"/>
          </rPr>
          <t xml:space="preserve">Original PO Date was Oct-17-2025, but recvd PO Rev.2- on Mar-19-2025-  added RT 98 PO with discounts so the delivery date updated to Nov-24-25
</t>
        </r>
      </text>
    </comment>
    <comment ref="L42" authorId="0" shapeId="0" xr:uid="{00000000-0006-0000-0000-000044000000}">
      <text>
        <r>
          <rPr>
            <b/>
            <sz val="12"/>
            <color indexed="81"/>
            <rFont val="Vandra"/>
          </rPr>
          <t>Qinshan</t>
        </r>
      </text>
    </comment>
    <comment ref="P42" authorId="0" shapeId="0" xr:uid="{00000000-0006-0000-0000-000045000000}">
      <text>
        <r>
          <rPr>
            <b/>
            <sz val="12"/>
            <color indexed="81"/>
            <rFont val="Vandra"/>
          </rPr>
          <t xml:space="preserve">Original PO Date was Oct-17-2025, but recvd PO Rev.2- on Mar-19-2025-  added RT 98 PO with discounts so the delivery date updated to Nov-24-25
</t>
        </r>
      </text>
    </comment>
    <comment ref="L43" authorId="0" shapeId="0" xr:uid="{00000000-0006-0000-0000-000046000000}">
      <text>
        <r>
          <rPr>
            <b/>
            <sz val="12"/>
            <color indexed="81"/>
            <rFont val="Vandra"/>
          </rPr>
          <t>Qinshan</t>
        </r>
      </text>
    </comment>
    <comment ref="P43" authorId="0" shapeId="0" xr:uid="{00000000-0006-0000-0000-000047000000}">
      <text>
        <r>
          <rPr>
            <b/>
            <sz val="12"/>
            <color indexed="81"/>
            <rFont val="Vandra"/>
          </rPr>
          <t xml:space="preserve">Original PO Date was Oct-17-2025, but recvd PO Rev.2- on Mar-19-2025-  added RT 98 PO with discounts so the delivery date updated to Nov-24-25
</t>
        </r>
      </text>
    </comment>
    <comment ref="L44" authorId="0" shapeId="0" xr:uid="{00000000-0006-0000-0000-000048000000}">
      <text>
        <r>
          <rPr>
            <b/>
            <sz val="12"/>
            <color indexed="81"/>
            <rFont val="Vandra"/>
          </rPr>
          <t>Qinshan</t>
        </r>
      </text>
    </comment>
    <comment ref="P44" authorId="0" shapeId="0" xr:uid="{00000000-0006-0000-0000-000049000000}">
      <text>
        <r>
          <rPr>
            <b/>
            <sz val="12"/>
            <color indexed="81"/>
            <rFont val="Vandra"/>
          </rPr>
          <t xml:space="preserve">Original PO Date was Oct-17-2025, but recvd PO Rev.2- on Mar-19-2025-  added RT 98 PO with discounts so the delivery date updated to Nov-24-25
</t>
        </r>
      </text>
    </comment>
    <comment ref="L45" authorId="0" shapeId="0" xr:uid="{00000000-0006-0000-0000-00004A000000}">
      <text>
        <r>
          <rPr>
            <b/>
            <sz val="12"/>
            <color indexed="81"/>
            <rFont val="Vandra"/>
          </rPr>
          <t>Qinshan</t>
        </r>
      </text>
    </comment>
    <comment ref="P45" authorId="0" shapeId="0" xr:uid="{00000000-0006-0000-0000-00004B000000}">
      <text>
        <r>
          <rPr>
            <b/>
            <sz val="12"/>
            <color indexed="81"/>
            <rFont val="Vandra"/>
          </rPr>
          <t xml:space="preserve">Original PO Date was Oct-17-2025, but recvd PO Rev.2- on Mar-19-2025-  added RT 98 PO with discounts so the delivery date updated to Nov-24-25
</t>
        </r>
      </text>
    </comment>
    <comment ref="L46" authorId="0" shapeId="0" xr:uid="{00000000-0006-0000-0000-00004C000000}">
      <text>
        <r>
          <rPr>
            <b/>
            <sz val="12"/>
            <color indexed="81"/>
            <rFont val="Vandra"/>
          </rPr>
          <t>Qinshan</t>
        </r>
      </text>
    </comment>
    <comment ref="P46" authorId="0" shapeId="0" xr:uid="{00000000-0006-0000-0000-00004D000000}">
      <text>
        <r>
          <rPr>
            <b/>
            <sz val="12"/>
            <color indexed="81"/>
            <rFont val="Vandra"/>
          </rPr>
          <t xml:space="preserve">Original PO Date was Oct-17-2025, but recvd PO Rev.2- on Mar-19-2025-  added RT 98 PO with discounts so the delivery date updated to Nov-24-25
</t>
        </r>
      </text>
    </comment>
    <comment ref="L47" authorId="0" shapeId="0" xr:uid="{00000000-0006-0000-0000-00004E000000}">
      <text>
        <r>
          <rPr>
            <b/>
            <sz val="12"/>
            <color indexed="81"/>
            <rFont val="Vandra"/>
          </rPr>
          <t>Qinshan</t>
        </r>
      </text>
    </comment>
    <comment ref="P47" authorId="0" shapeId="0" xr:uid="{00000000-0006-0000-0000-00004F000000}">
      <text>
        <r>
          <rPr>
            <b/>
            <sz val="12"/>
            <color indexed="81"/>
            <rFont val="Vandra"/>
          </rPr>
          <t xml:space="preserve">Original PO Date was Oct-17-2025, but recvd PO Rev.2- on Mar-19-2025-  added RT 98 PO with discounts so the delivery date updated to Nov-24-25
</t>
        </r>
      </text>
    </comment>
    <comment ref="L48" authorId="0" shapeId="0" xr:uid="{00000000-0006-0000-0000-000050000000}">
      <text>
        <r>
          <rPr>
            <b/>
            <sz val="12"/>
            <color indexed="81"/>
            <rFont val="Vandra"/>
          </rPr>
          <t>Qinshan</t>
        </r>
      </text>
    </comment>
    <comment ref="P48" authorId="0" shapeId="0" xr:uid="{00000000-0006-0000-0000-000051000000}">
      <text>
        <r>
          <rPr>
            <b/>
            <sz val="12"/>
            <color indexed="81"/>
            <rFont val="Vandra"/>
          </rPr>
          <t xml:space="preserve">Original PO Date was Oct-17-2025, but recvd PO Rev.2- on Mar-19-2025-  added RT 98 PO with discounts so the delivery date updated to Nov-24-25
</t>
        </r>
      </text>
    </comment>
    <comment ref="L50" authorId="0" shapeId="0" xr:uid="{3C0F0A64-9515-4EAF-B885-FD26389D3DAC}">
      <text>
        <r>
          <rPr>
            <b/>
            <sz val="11"/>
            <color indexed="81"/>
            <rFont val="Vandra"/>
          </rPr>
          <t>New PO Rev.1 to include cost of Trolley &amp; Frame</t>
        </r>
      </text>
    </comment>
    <comment ref="O50" authorId="0" shapeId="0" xr:uid="{00000000-0006-0000-0000-000052000000}">
      <text>
        <r>
          <rPr>
            <b/>
            <sz val="11"/>
            <color indexed="81"/>
            <rFont val="Vandra"/>
          </rPr>
          <t>1st Milestone  30 % Inv# 52759</t>
        </r>
      </text>
    </comment>
    <comment ref="K51" authorId="0" shapeId="0" xr:uid="{00000000-0006-0000-0000-000053000000}">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O51" authorId="0" shapeId="0" xr:uid="{1C599140-9074-41B6-BEAF-9B123F7D865E}">
      <text>
        <r>
          <rPr>
            <b/>
            <sz val="11"/>
            <color indexed="81"/>
            <rFont val="Vandra"/>
          </rPr>
          <t>1st Milestone  30 % Inv# 52759</t>
        </r>
      </text>
    </comment>
    <comment ref="L59" authorId="0" shapeId="0" xr:uid="{00000000-0006-0000-0000-000054000000}">
      <text>
        <r>
          <rPr>
            <b/>
            <sz val="11"/>
            <color indexed="81"/>
            <rFont val="Vandra"/>
          </rPr>
          <t>I submitted all drawings for this order
May-22-25- Olivier asked Sam to reprint larger drawings and restamp
July-7-26- Recvd Revised PO Rev.1</t>
        </r>
      </text>
    </comment>
    <comment ref="O59" authorId="0" shapeId="0" xr:uid="{00000000-0006-0000-0000-000055000000}">
      <text>
        <r>
          <rPr>
            <b/>
            <sz val="11"/>
            <color indexed="81"/>
            <rFont val="Vandra"/>
          </rPr>
          <t>1st Milestone  30%  Inv# 52946</t>
        </r>
      </text>
    </comment>
    <comment ref="E60" authorId="0" shapeId="0" xr:uid="{00000000-0006-0000-0000-000056000000}">
      <text>
        <r>
          <rPr>
            <b/>
            <sz val="11"/>
            <color indexed="81"/>
            <rFont val="Vandra"/>
          </rPr>
          <t>Feb-12-26- needs to fix .236 Hole</t>
        </r>
      </text>
    </comment>
    <comment ref="K62" authorId="0" shapeId="0" xr:uid="{00000000-0006-0000-0000-000057000000}">
      <text>
        <r>
          <rPr>
            <b/>
            <sz val="11"/>
            <color indexed="81"/>
            <rFont val="Vandra"/>
          </rPr>
          <t>includes cost for Dwg# RT-87590-71400-102-1-DD-B- Ta[  $ 330.00 ea x 3</t>
        </r>
      </text>
    </comment>
    <comment ref="L62" authorId="0" shapeId="0" xr:uid="{00000000-0006-0000-0000-000058000000}">
      <text>
        <r>
          <rPr>
            <b/>
            <sz val="11"/>
            <color indexed="81"/>
            <rFont val="Vandra"/>
          </rPr>
          <t>I submitted All Drawing for this order
May-22-25- Olivier asked Sam to reprint larger drawings and re-stamp.
New Rev.1 Recvd Aug-6-25 to include cost of Tabs</t>
        </r>
      </text>
    </comment>
    <comment ref="L64" authorId="0" shapeId="0" xr:uid="{00000000-0006-0000-0000-000059000000}">
      <text>
        <r>
          <rPr>
            <b/>
            <sz val="11"/>
            <color indexed="81"/>
            <rFont val="Vandra"/>
          </rPr>
          <t>Romania
Rev-1 Recvd Dec-17-25- Additn Epoxy Gel</t>
        </r>
      </text>
    </comment>
    <comment ref="O64" authorId="0" shapeId="0" xr:uid="{00000000-0006-0000-0000-00005A000000}">
      <text>
        <r>
          <rPr>
            <b/>
            <sz val="11"/>
            <color indexed="81"/>
            <rFont val="Vandra"/>
          </rPr>
          <t>1 st- Milestone   30%  Inv# 52865</t>
        </r>
      </text>
    </comment>
    <comment ref="L66" authorId="0" shapeId="0" xr:uid="{00000000-0006-0000-0000-00005B000000}">
      <text>
        <r>
          <rPr>
            <b/>
            <sz val="11"/>
            <color indexed="81"/>
            <rFont val="Vandra"/>
          </rPr>
          <t>Romania</t>
        </r>
      </text>
    </comment>
    <comment ref="O66" authorId="0" shapeId="0" xr:uid="{00000000-0006-0000-0000-00005C000000}">
      <text>
        <r>
          <rPr>
            <b/>
            <sz val="11"/>
            <color indexed="81"/>
            <rFont val="Vandra"/>
          </rPr>
          <t>1st Milestone  30%   Inv# 52866</t>
        </r>
      </text>
    </comment>
    <comment ref="P66" authorId="0" shapeId="0" xr:uid="{00000000-0006-0000-0000-00005D000000}">
      <text>
        <r>
          <rPr>
            <b/>
            <sz val="11"/>
            <color indexed="81"/>
            <rFont val="Vandra"/>
          </rPr>
          <t xml:space="preserve">Delivery Date for Candu - Changed from Jan-26-26 to Nov-30-25
</t>
        </r>
      </text>
    </comment>
    <comment ref="E70" authorId="0" shapeId="0" xr:uid="{B6C495BD-94FA-496F-9877-A3A9F1126F4B}">
      <text>
        <r>
          <rPr>
            <b/>
            <sz val="11"/>
            <color indexed="81"/>
            <rFont val="Vandra"/>
          </rPr>
          <t>April-27 Marcos said to use Dwg# 21RT-87250-9150-1-DD-B- Mtg Plate, this replaces # 84483-1-033-02- Use for 031</t>
        </r>
      </text>
    </comment>
    <comment ref="L70" authorId="0" shapeId="0" xr:uid="{00000000-0006-0000-0000-00005E000000}">
      <text>
        <r>
          <rPr>
            <b/>
            <sz val="11"/>
            <color indexed="81"/>
            <rFont val="Vandra"/>
          </rPr>
          <t>Qinshan</t>
        </r>
      </text>
    </comment>
    <comment ref="L75" authorId="0" shapeId="0" xr:uid="{00000000-0006-0000-0000-000065000000}">
      <text>
        <r>
          <rPr>
            <b/>
            <sz val="11"/>
            <color indexed="81"/>
            <rFont val="Vandra"/>
          </rPr>
          <t>Romania</t>
        </r>
      </text>
    </comment>
    <comment ref="O75" authorId="0" shapeId="0" xr:uid="{00000000-0006-0000-0000-000066000000}">
      <text>
        <r>
          <rPr>
            <b/>
            <sz val="11"/>
            <color indexed="81"/>
            <rFont val="Vandra"/>
          </rPr>
          <t xml:space="preserve">1st Milestone 30% - Inv# 52867
2nd Milestone 30%  Inv# 53180
</t>
        </r>
      </text>
    </comment>
    <comment ref="D81" authorId="0" shapeId="0" xr:uid="{00000000-0006-0000-0000-00006F000000}">
      <text>
        <r>
          <rPr>
            <b/>
            <sz val="11"/>
            <color indexed="81"/>
            <rFont val="Vandra"/>
          </rPr>
          <t>recvd- 6 large</t>
        </r>
      </text>
    </comment>
    <comment ref="F81" authorId="0" shapeId="0" xr:uid="{FC12B809-9BA8-495D-95F2-1392457B2D87}">
      <text>
        <r>
          <rPr>
            <b/>
            <sz val="11"/>
            <color indexed="81"/>
            <rFont val="Vandra"/>
          </rPr>
          <t>July-7-26- new revised dwgs recvd</t>
        </r>
      </text>
    </comment>
    <comment ref="L81" authorId="0" shapeId="0" xr:uid="{00000000-0006-0000-0000-000070000000}">
      <text>
        <r>
          <rPr>
            <b/>
            <sz val="11"/>
            <color indexed="81"/>
            <rFont val="Vandra"/>
          </rPr>
          <t>Romania- SA and EF Transport Containers
Nov-5-25- PO Rev.1 Recvd</t>
        </r>
      </text>
    </comment>
    <comment ref="O81" authorId="0" shapeId="0" xr:uid="{00000000-0006-0000-0000-000071000000}">
      <text>
        <r>
          <rPr>
            <b/>
            <sz val="11"/>
            <color indexed="81"/>
            <rFont val="Vandra"/>
          </rPr>
          <t>1st Milestone 25%  Inv# 53057</t>
        </r>
      </text>
    </comment>
    <comment ref="D82" authorId="0" shapeId="0" xr:uid="{00000000-0006-0000-0000-000072000000}">
      <text>
        <r>
          <rPr>
            <b/>
            <sz val="11"/>
            <color indexed="81"/>
            <rFont val="Vandra"/>
          </rPr>
          <t>recvd 7- small
recvd 7- small on Nov 14-25, 2- pcs extra of what was quoted and on the PO</t>
        </r>
      </text>
    </comment>
    <comment ref="F82" authorId="0" shapeId="0" xr:uid="{0DCB0701-4A3C-4C42-87F2-51592A92A44F}">
      <text>
        <r>
          <rPr>
            <b/>
            <sz val="11"/>
            <color indexed="81"/>
            <rFont val="Vandra"/>
          </rPr>
          <t>July-7-26- new revised dwgs recvd</t>
        </r>
      </text>
    </comment>
    <comment ref="L82" authorId="0" shapeId="0" xr:uid="{00000000-0006-0000-0000-000073000000}">
      <text>
        <r>
          <rPr>
            <b/>
            <sz val="11"/>
            <color indexed="81"/>
            <rFont val="Vandra"/>
          </rPr>
          <t>Romania- SA and EF Transport Containers</t>
        </r>
      </text>
    </comment>
    <comment ref="L84" authorId="0" shapeId="0" xr:uid="{00000000-0006-0000-0000-000075000000}">
      <text>
        <r>
          <rPr>
            <b/>
            <sz val="11"/>
            <color indexed="81"/>
            <rFont val="Vandra"/>
          </rPr>
          <t>Qinshan-  Same ase J# 71852 &amp; 71853
Bore Gauge- ordered by Candu F/I to be  delivered to RTD per e-mail Oct-1-25</t>
        </r>
      </text>
    </comment>
    <comment ref="O99" authorId="0" shapeId="0" xr:uid="{00000000-0006-0000-0000-00007A000000}">
      <text>
        <r>
          <rPr>
            <sz val="12"/>
            <color indexed="81"/>
            <rFont val="Tahoma"/>
            <family val="2"/>
          </rPr>
          <t>1st Milestone 30%  Inv# 53177</t>
        </r>
      </text>
    </comment>
    <comment ref="P99" authorId="0" shapeId="0" xr:uid="{00000000-0006-0000-0000-00007B000000}">
      <text>
        <r>
          <rPr>
            <b/>
            <sz val="11"/>
            <color indexed="81"/>
            <rFont val="Vandra"/>
          </rPr>
          <t>Original Date Jan-23-25,  Date revised on Aug-14-25-  To Feb-16-26</t>
        </r>
      </text>
    </comment>
    <comment ref="E100" authorId="0" shapeId="0" xr:uid="{00000000-0006-0000-0000-00007C000000}">
      <text>
        <r>
          <rPr>
            <b/>
            <sz val="11"/>
            <color indexed="81"/>
            <rFont val="Vandra"/>
          </rPr>
          <t>Dec-31-25- Additional part ordered  on PO rev.1</t>
        </r>
      </text>
    </comment>
    <comment ref="E102" authorId="0" shapeId="0" xr:uid="{00000000-0006-0000-0000-00007D000000}">
      <text>
        <r>
          <rPr>
            <b/>
            <sz val="11"/>
            <color indexed="81"/>
            <rFont val="Vandra"/>
          </rPr>
          <t>Feb-12-26- Mat;l issue - should be 1"-5 ACME instead  of 1.1/2"- Need New Materials</t>
        </r>
      </text>
    </comment>
    <comment ref="L105" authorId="0" shapeId="0" xr:uid="{00000000-0006-0000-0000-00007F000000}">
      <text>
        <r>
          <rPr>
            <b/>
            <sz val="11"/>
            <color indexed="81"/>
            <rFont val="Vandra"/>
          </rPr>
          <t>Romania</t>
        </r>
      </text>
    </comment>
    <comment ref="O105" authorId="0" shapeId="0" xr:uid="{00000000-0006-0000-0000-000080000000}">
      <text>
        <r>
          <rPr>
            <b/>
            <sz val="11"/>
            <color indexed="81"/>
            <rFont val="Vandra"/>
          </rPr>
          <t xml:space="preserve">1st Milestone  30%   </t>
        </r>
        <r>
          <rPr>
            <b/>
            <i/>
            <sz val="11"/>
            <color indexed="81"/>
            <rFont val="Vandra"/>
          </rPr>
          <t>nv# 53179</t>
        </r>
      </text>
    </comment>
    <comment ref="P105" authorId="0" shapeId="0" xr:uid="{00000000-0006-0000-0000-000081000000}">
      <text>
        <r>
          <rPr>
            <b/>
            <sz val="11"/>
            <color indexed="81"/>
            <rFont val="Vandra"/>
          </rPr>
          <t>Delivery date reduced by 5 weeks per Olivier from 37 to 32 wks per E-mail dated Aug-15-25</t>
        </r>
      </text>
    </comment>
    <comment ref="P106" authorId="0" shapeId="0" xr:uid="{00000000-0006-0000-0000-000082000000}">
      <text>
        <r>
          <rPr>
            <b/>
            <sz val="11"/>
            <color indexed="81"/>
            <rFont val="Vandra"/>
          </rPr>
          <t>Delivery date reduced by 5 weeks per Olivier from 37 to 32 wks per E-mail dated Aug-15-25</t>
        </r>
      </text>
    </comment>
    <comment ref="P107" authorId="0" shapeId="0" xr:uid="{00000000-0006-0000-0000-000083000000}">
      <text>
        <r>
          <rPr>
            <b/>
            <sz val="11"/>
            <color indexed="81"/>
            <rFont val="Vandra"/>
          </rPr>
          <t>Delivery date reduced by 5 weeks per Olivier from 37 to 32 wks per E-mail dated Aug-15-25</t>
        </r>
      </text>
    </comment>
    <comment ref="P108" authorId="0" shapeId="0" xr:uid="{00000000-0006-0000-0000-000084000000}">
      <text>
        <r>
          <rPr>
            <b/>
            <sz val="11"/>
            <color indexed="81"/>
            <rFont val="Vandra"/>
          </rPr>
          <t>Delivery date reduced by 5 weeks per Olivier from 37 to 32 wks per E-mail dated Aug-15-25</t>
        </r>
      </text>
    </comment>
    <comment ref="P109" authorId="0" shapeId="0" xr:uid="{00000000-0006-0000-0000-000085000000}">
      <text>
        <r>
          <rPr>
            <b/>
            <sz val="11"/>
            <color indexed="81"/>
            <rFont val="Vandra"/>
          </rPr>
          <t>Delivery date reduced by 5 weeks per Olivier from 37 to 32 wks per E-mail dated Aug-15-25</t>
        </r>
      </text>
    </comment>
    <comment ref="P110" authorId="0" shapeId="0" xr:uid="{00000000-0006-0000-0000-000086000000}">
      <text>
        <r>
          <rPr>
            <b/>
            <sz val="11"/>
            <color indexed="81"/>
            <rFont val="Vandra"/>
          </rPr>
          <t>Delivery date reduced by 5 weeks per Olivier from 37 to 32 wks per E-mail dated Aug-15-25</t>
        </r>
      </text>
    </comment>
    <comment ref="P111" authorId="0" shapeId="0" xr:uid="{00000000-0006-0000-0000-000087000000}">
      <text>
        <r>
          <rPr>
            <b/>
            <sz val="11"/>
            <color indexed="81"/>
            <rFont val="Vandra"/>
          </rPr>
          <t>Delivery date reduced by 5 weeks per Olivier from 37 to 32 wks per E-mail dated Aug-15-25</t>
        </r>
      </text>
    </comment>
    <comment ref="P112" authorId="0" shapeId="0" xr:uid="{00000000-0006-0000-0000-000088000000}">
      <text>
        <r>
          <rPr>
            <b/>
            <sz val="11"/>
            <color indexed="81"/>
            <rFont val="Vandra"/>
          </rPr>
          <t>Delivery date reduced by 5 weeks per Olivier from 37 to 32 wks per E-mail dated Aug-15-25</t>
        </r>
      </text>
    </comment>
    <comment ref="P113" authorId="0" shapeId="0" xr:uid="{00000000-0006-0000-0000-000089000000}">
      <text>
        <r>
          <rPr>
            <b/>
            <sz val="11"/>
            <color indexed="81"/>
            <rFont val="Vandra"/>
          </rPr>
          <t>Delivery date reduced by 5 weeks per Olivier from 37 to 32 wks per E-mail dated Aug-15-25</t>
        </r>
      </text>
    </comment>
    <comment ref="P114" authorId="0" shapeId="0" xr:uid="{00000000-0006-0000-0000-00008A000000}">
      <text>
        <r>
          <rPr>
            <b/>
            <sz val="11"/>
            <color indexed="81"/>
            <rFont val="Vandra"/>
          </rPr>
          <t>Delivery date reduced by 5 weeks per Olivier from 37 to 32 wks per E-mail dated Aug-15-25</t>
        </r>
      </text>
    </comment>
    <comment ref="P115" authorId="0" shapeId="0" xr:uid="{00000000-0006-0000-0000-00008B000000}">
      <text>
        <r>
          <rPr>
            <b/>
            <sz val="11"/>
            <color indexed="81"/>
            <rFont val="Vandra"/>
          </rPr>
          <t>Delivery date reduced by 5 weeks per Olivier from 37 to 32 wks per E-mail dated Aug-15-25</t>
        </r>
      </text>
    </comment>
    <comment ref="P116" authorId="0" shapeId="0" xr:uid="{00000000-0006-0000-0000-00008C000000}">
      <text>
        <r>
          <rPr>
            <b/>
            <sz val="11"/>
            <color indexed="81"/>
            <rFont val="Vandra"/>
          </rPr>
          <t>Delivery date reduced by 5 weeks per Olivier from 37 to 32 wks per E-mail dated Aug-15-25</t>
        </r>
      </text>
    </comment>
    <comment ref="P117" authorId="0" shapeId="0" xr:uid="{00000000-0006-0000-0000-00008D000000}">
      <text>
        <r>
          <rPr>
            <b/>
            <sz val="11"/>
            <color indexed="81"/>
            <rFont val="Vandra"/>
          </rPr>
          <t>Delivery date reduced by 5 weeks per Olivier from 37 to 32 wks per E-mail dated Aug-15-25</t>
        </r>
      </text>
    </comment>
    <comment ref="P118" authorId="0" shapeId="0" xr:uid="{00000000-0006-0000-0000-00008E000000}">
      <text>
        <r>
          <rPr>
            <b/>
            <sz val="11"/>
            <color indexed="81"/>
            <rFont val="Vandra"/>
          </rPr>
          <t>Delivery date reduced by 5 weeks per Olivier from 37 to 32 wks per E-mail dated Aug-15-25</t>
        </r>
      </text>
    </comment>
    <comment ref="P119" authorId="0" shapeId="0" xr:uid="{00000000-0006-0000-0000-00008F000000}">
      <text>
        <r>
          <rPr>
            <b/>
            <sz val="11"/>
            <color indexed="81"/>
            <rFont val="Vandra"/>
          </rPr>
          <t>Delivery date reduced by 5 weeks per Olivier from 37 to 32 wks per E-mail dated Aug-15-25</t>
        </r>
      </text>
    </comment>
    <comment ref="P120" authorId="0" shapeId="0" xr:uid="{00000000-0006-0000-0000-000090000000}">
      <text>
        <r>
          <rPr>
            <b/>
            <sz val="11"/>
            <color indexed="81"/>
            <rFont val="Vandra"/>
          </rPr>
          <t>Delivery date reduced by 5 weeks per Olivier from 37 to 32 wks per E-mail dated Aug-15-25</t>
        </r>
      </text>
    </comment>
    <comment ref="P121" authorId="0" shapeId="0" xr:uid="{00000000-0006-0000-0000-000091000000}">
      <text>
        <r>
          <rPr>
            <b/>
            <sz val="11"/>
            <color indexed="81"/>
            <rFont val="Vandra"/>
          </rPr>
          <t>Delivery date reduced by 5 weeks per Olivier from 37 to 32 wks per E-mail dated Aug-15-25</t>
        </r>
      </text>
    </comment>
    <comment ref="E123" authorId="0" shapeId="0" xr:uid="{00000000-0006-0000-0000-000095000000}">
      <text>
        <r>
          <rPr>
            <b/>
            <sz val="11"/>
            <color indexed="81"/>
            <rFont val="Vandra"/>
          </rPr>
          <t>As per Scope of Work- Do not fabricate  BOM item # 33 per release # RT-ET-07586</t>
        </r>
      </text>
    </comment>
    <comment ref="L123" authorId="0" shapeId="0" xr:uid="{00000000-0006-0000-0000-000096000000}">
      <text>
        <r>
          <rPr>
            <b/>
            <sz val="11"/>
            <color indexed="81"/>
            <rFont val="Vandra"/>
          </rPr>
          <t>Qinshan- Sept-4-25- Sam to print Dwgs for me per Steve request</t>
        </r>
      </text>
    </comment>
    <comment ref="P123" authorId="0" shapeId="0" xr:uid="{00000000-0006-0000-0000-000097000000}">
      <text>
        <r>
          <rPr>
            <b/>
            <sz val="11"/>
            <color indexed="81"/>
            <rFont val="Vandra"/>
          </rPr>
          <t>Sept-15-25-  Date Asked by CANDU from Mar-16-26 to FEB-24-26- no can do</t>
        </r>
      </text>
    </comment>
    <comment ref="P124" authorId="0" shapeId="0" xr:uid="{00000000-0006-0000-0000-000098000000}">
      <text>
        <r>
          <rPr>
            <b/>
            <sz val="11"/>
            <color indexed="81"/>
            <rFont val="Vandra"/>
          </rPr>
          <t>Sept-15-25-  Date Asked by CANDU from Mar-16-27 to FEB-24-27</t>
        </r>
      </text>
    </comment>
    <comment ref="P125" authorId="0" shapeId="0" xr:uid="{00000000-0006-0000-0000-000099000000}">
      <text>
        <r>
          <rPr>
            <b/>
            <sz val="11"/>
            <color indexed="81"/>
            <rFont val="Vandra"/>
          </rPr>
          <t>Sept-15-25-  Date Asked by CANDU from Mar-16-27 to FEB-24-27</t>
        </r>
      </text>
    </comment>
    <comment ref="P126" authorId="0" shapeId="0" xr:uid="{00000000-0006-0000-0000-00009A000000}">
      <text>
        <r>
          <rPr>
            <b/>
            <sz val="11"/>
            <color indexed="81"/>
            <rFont val="Vandra"/>
          </rPr>
          <t>Sept-15-25-  Date Asked by CANDU from Mar-16-27 to FEB-24-27</t>
        </r>
      </text>
    </comment>
    <comment ref="P127" authorId="0" shapeId="0" xr:uid="{00000000-0006-0000-0000-00009B000000}">
      <text>
        <r>
          <rPr>
            <b/>
            <sz val="11"/>
            <color indexed="81"/>
            <rFont val="Vandra"/>
          </rPr>
          <t>Sept-15-25-  Date Asked by CANDU from Mar-16-27 to FEB-24-27</t>
        </r>
      </text>
    </comment>
    <comment ref="E128" authorId="0" shapeId="0" xr:uid="{00000000-0006-0000-0000-00009C000000}">
      <text>
        <r>
          <rPr>
            <b/>
            <sz val="11"/>
            <color indexed="81"/>
            <rFont val="Vandra"/>
          </rPr>
          <t>AS per Scope of Work - DO NOT Quote /Fab the following items :
BOM it #16-16" lift Rig  # RT-ET-07654
BOM It# 17- PT Scribing Tool # RT-ET-07591
BOM It# 19- Roller Support # RT-ET-07669</t>
        </r>
      </text>
    </comment>
    <comment ref="P128" authorId="0" shapeId="0" xr:uid="{00000000-0006-0000-0000-00009D000000}">
      <text>
        <r>
          <rPr>
            <b/>
            <sz val="11"/>
            <color indexed="81"/>
            <rFont val="Vandra"/>
          </rPr>
          <t>Sept-15-25-  Date Asked by CANDU from Mar-16-27 to FEB-24-27</t>
        </r>
      </text>
    </comment>
    <comment ref="E129" authorId="0" shapeId="0" xr:uid="{00000000-0006-0000-0000-00009E000000}">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129" authorId="0" shapeId="0" xr:uid="{00000000-0006-0000-0000-00009F000000}">
      <text/>
    </comment>
    <comment ref="P129" authorId="0" shapeId="0" xr:uid="{00000000-0006-0000-0000-0000A0000000}">
      <text>
        <r>
          <rPr>
            <b/>
            <sz val="11"/>
            <color indexed="81"/>
            <rFont val="Vandra"/>
          </rPr>
          <t>Sept-15-25-  Date Asked by CANDU from Mar-16-27 to FEB-24-27</t>
        </r>
      </text>
    </comment>
    <comment ref="E130" authorId="0" shapeId="0" xr:uid="{00000000-0006-0000-0000-0000A1000000}">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130" authorId="0" shapeId="0" xr:uid="{00000000-0006-0000-0000-0000A2000000}">
      <text>
        <r>
          <rPr>
            <b/>
            <sz val="11"/>
            <color indexed="81"/>
            <rFont val="Vandra"/>
          </rPr>
          <t>Sept-15-25-  Date Asked by CANDU from Mar-16-27 to FEB-24-27</t>
        </r>
      </text>
    </comment>
    <comment ref="P131" authorId="0" shapeId="0" xr:uid="{00000000-0006-0000-0000-0000A3000000}">
      <text>
        <r>
          <rPr>
            <b/>
            <sz val="11"/>
            <color indexed="81"/>
            <rFont val="Vandra"/>
          </rPr>
          <t>Sept-15-25-  Date Asked by CANDU from Mar-16-27 to FEB-24-27</t>
        </r>
      </text>
    </comment>
    <comment ref="P132" authorId="0" shapeId="0" xr:uid="{00000000-0006-0000-0000-0000A4000000}">
      <text>
        <r>
          <rPr>
            <b/>
            <sz val="11"/>
            <color indexed="81"/>
            <rFont val="Vandra"/>
          </rPr>
          <t>Sept-15-25-  Date Asked by CANDU from Mar-16-27 to FEB-24-27</t>
        </r>
      </text>
    </comment>
    <comment ref="P133" authorId="0" shapeId="0" xr:uid="{00000000-0006-0000-0000-0000A5000000}">
      <text>
        <r>
          <rPr>
            <b/>
            <sz val="11"/>
            <color indexed="81"/>
            <rFont val="Vandra"/>
          </rPr>
          <t>Sept-15-25-  Date Asked by CANDU from Mar-16-27 to FEB-24-27</t>
        </r>
      </text>
    </comment>
    <comment ref="P134" authorId="0" shapeId="0" xr:uid="{00000000-0006-0000-0000-0000A6000000}">
      <text>
        <r>
          <rPr>
            <b/>
            <sz val="11"/>
            <color indexed="81"/>
            <rFont val="Vandra"/>
          </rPr>
          <t>Sept-15-25-  Date Asked by CANDU from Mar-16-27 to FEB-24-27</t>
        </r>
      </text>
    </comment>
    <comment ref="P135" authorId="0" shapeId="0" xr:uid="{00000000-0006-0000-0000-0000A7000000}">
      <text>
        <r>
          <rPr>
            <b/>
            <sz val="11"/>
            <color indexed="81"/>
            <rFont val="Vandra"/>
          </rPr>
          <t>Sept-15-25-  Date Asked by CANDU from Mar-16-27 to FEB-24-27</t>
        </r>
      </text>
    </comment>
    <comment ref="P136" authorId="0" shapeId="0" xr:uid="{00000000-0006-0000-0000-0000A8000000}">
      <text>
        <r>
          <rPr>
            <b/>
            <sz val="11"/>
            <color indexed="81"/>
            <rFont val="Vandra"/>
          </rPr>
          <t>Sept-15-25-  Date Asked by CANDU from Mar-16-27 to FEB-24-27</t>
        </r>
      </text>
    </comment>
    <comment ref="L137" authorId="0" shapeId="0" xr:uid="{00000000-0006-0000-0000-0000A9000000}">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137" authorId="0" shapeId="0" xr:uid="{00000000-0006-0000-0000-0000AA000000}">
      <text>
        <r>
          <rPr>
            <b/>
            <sz val="11"/>
            <color indexed="81"/>
            <rFont val="Vandra"/>
          </rPr>
          <t>Delivery based on the 25 Weeks quoted on LP-251127A</t>
        </r>
      </text>
    </comment>
    <comment ref="H140" authorId="0" shapeId="0" xr:uid="{00000000-0006-0000-0000-0000AB000000}">
      <text>
        <r>
          <rPr>
            <b/>
            <sz val="11"/>
            <color indexed="81"/>
            <rFont val="Vandra"/>
          </rPr>
          <t>Entered order on Sept-9-25 and signed acceptance Sept-9-25  so busy submitted only submitted dwgs on Sept-22-25</t>
        </r>
      </text>
    </comment>
    <comment ref="P140" authorId="0" shapeId="0" xr:uid="{00000000-0006-0000-0000-0000AC000000}">
      <text>
        <r>
          <rPr>
            <b/>
            <sz val="11"/>
            <color indexed="81"/>
            <rFont val="Vandra"/>
          </rPr>
          <t>e-mail sent sept 15-25-26  requesting new revised Date.
Changed from May-17-26</t>
        </r>
      </text>
    </comment>
    <comment ref="H141" authorId="0" shapeId="0" xr:uid="{00000000-0006-0000-0000-0000AD000000}">
      <text>
        <r>
          <rPr>
            <b/>
            <sz val="11"/>
            <color indexed="81"/>
            <rFont val="Vandra"/>
          </rPr>
          <t>Entered order on Sept-9-25 and signed acceptance Sept-9-25  so busy submitted only submitted dwgs on Sept-22-25</t>
        </r>
      </text>
    </comment>
    <comment ref="P141" authorId="0" shapeId="0" xr:uid="{00000000-0006-0000-0000-0000AE000000}">
      <text>
        <r>
          <rPr>
            <b/>
            <sz val="11"/>
            <color indexed="81"/>
            <rFont val="Vandra"/>
          </rPr>
          <t>e-mail sent sept 15-25-26  requesting new revised Date.
Changed from May-17-26</t>
        </r>
      </text>
    </comment>
    <comment ref="H142" authorId="0" shapeId="0" xr:uid="{00000000-0006-0000-0000-0000AF000000}">
      <text>
        <r>
          <rPr>
            <b/>
            <sz val="11"/>
            <color indexed="81"/>
            <rFont val="Vandra"/>
          </rPr>
          <t>Entered order on Sept-9-25 and signed acceptance Sept-9-25  so busy submitted only submitted dwgs on Sept-22-25</t>
        </r>
      </text>
    </comment>
    <comment ref="P142" authorId="0" shapeId="0" xr:uid="{00000000-0006-0000-0000-0000B0000000}">
      <text>
        <r>
          <rPr>
            <b/>
            <sz val="11"/>
            <color indexed="81"/>
            <rFont val="Vandra"/>
          </rPr>
          <t>e-mail sent sept 15-25-26  requesting new revised Date.
Changed from May-17-26</t>
        </r>
      </text>
    </comment>
    <comment ref="H143" authorId="0" shapeId="0" xr:uid="{00000000-0006-0000-0000-0000B1000000}">
      <text>
        <r>
          <rPr>
            <b/>
            <sz val="11"/>
            <color indexed="81"/>
            <rFont val="Vandra"/>
          </rPr>
          <t>Entered order on Sept-9-25 and signed acceptance Sept-9-25  so busy submitted only submitted dwgs on Sept-22-25</t>
        </r>
      </text>
    </comment>
    <comment ref="P143" authorId="0" shapeId="0" xr:uid="{00000000-0006-0000-0000-0000B2000000}">
      <text>
        <r>
          <rPr>
            <b/>
            <sz val="11"/>
            <color indexed="81"/>
            <rFont val="Vandra"/>
          </rPr>
          <t>e-mail sent sept 15-25-26  requesting new revised Date.
Changed from May-17-26</t>
        </r>
      </text>
    </comment>
    <comment ref="H144" authorId="0" shapeId="0" xr:uid="{00000000-0006-0000-0000-0000B3000000}">
      <text>
        <r>
          <rPr>
            <b/>
            <sz val="11"/>
            <color indexed="81"/>
            <rFont val="Vandra"/>
          </rPr>
          <t>Entered order on Sept-9-25 and signed acceptance Sept-9-25  so busy submitted only submitted dwgs on Sept-22-25</t>
        </r>
      </text>
    </comment>
    <comment ref="P144" authorId="0" shapeId="0" xr:uid="{00000000-0006-0000-0000-0000B4000000}">
      <text>
        <r>
          <rPr>
            <b/>
            <sz val="11"/>
            <color indexed="81"/>
            <rFont val="Vandra"/>
          </rPr>
          <t>e-mail sent sept 15-25-26  requesting new revised Date.
Changed from May-17-26</t>
        </r>
      </text>
    </comment>
    <comment ref="H145" authorId="0" shapeId="0" xr:uid="{00000000-0006-0000-0000-0000B5000000}">
      <text>
        <r>
          <rPr>
            <b/>
            <sz val="11"/>
            <color indexed="81"/>
            <rFont val="Vandra"/>
          </rPr>
          <t>Entered order on Sept-9-25 and signed acceptance Sept-9-25  so busy submitted only submitted dwgs on Sept-22-25</t>
        </r>
      </text>
    </comment>
    <comment ref="P145" authorId="0" shapeId="0" xr:uid="{00000000-0006-0000-0000-0000B6000000}">
      <text>
        <r>
          <rPr>
            <b/>
            <sz val="11"/>
            <color indexed="81"/>
            <rFont val="Vandra"/>
          </rPr>
          <t>e-mail sent sept 15-25-26  requesting new revised Date.
Changed from May-17-26</t>
        </r>
      </text>
    </comment>
    <comment ref="H146" authorId="0" shapeId="0" xr:uid="{00000000-0006-0000-0000-0000B7000000}">
      <text>
        <r>
          <rPr>
            <b/>
            <sz val="11"/>
            <color indexed="81"/>
            <rFont val="Vandra"/>
          </rPr>
          <t>Entered order on Sept-9-25 and signed acceptance Sept-9-25  so busy submitted only submitted dwgs on Sept-22-25</t>
        </r>
      </text>
    </comment>
    <comment ref="P146" authorId="0" shapeId="0" xr:uid="{00000000-0006-0000-0000-0000B8000000}">
      <text>
        <r>
          <rPr>
            <b/>
            <sz val="11"/>
            <color indexed="81"/>
            <rFont val="Vandra"/>
          </rPr>
          <t>e-mail sent sept 15-25-26  requesting new revised Date.
Changed from May-17-26</t>
        </r>
      </text>
    </comment>
    <comment ref="H147" authorId="0" shapeId="0" xr:uid="{00000000-0006-0000-0000-0000B9000000}">
      <text>
        <r>
          <rPr>
            <b/>
            <sz val="11"/>
            <color indexed="81"/>
            <rFont val="Vandra"/>
          </rPr>
          <t>Entered order on Sept-9-25 and signed acceptance Sept-9-25  so busy submitted only submitted dwgs on Sept-22-25</t>
        </r>
      </text>
    </comment>
    <comment ref="P147" authorId="0" shapeId="0" xr:uid="{00000000-0006-0000-0000-0000BA000000}">
      <text>
        <r>
          <rPr>
            <b/>
            <sz val="11"/>
            <color indexed="81"/>
            <rFont val="Vandra"/>
          </rPr>
          <t>e-mail sent sept 15-25-26  requesting new revised Date.
Changed from May-17-26</t>
        </r>
      </text>
    </comment>
    <comment ref="H148" authorId="0" shapeId="0" xr:uid="{00000000-0006-0000-0000-0000BB000000}">
      <text>
        <r>
          <rPr>
            <b/>
            <sz val="11"/>
            <color indexed="81"/>
            <rFont val="Vandra"/>
          </rPr>
          <t>Entered order on Sept-9-25 and signed acceptance Sept-9-25  so busy submitted only submitted dwgs on Sept-22-25</t>
        </r>
      </text>
    </comment>
    <comment ref="P148" authorId="0" shapeId="0" xr:uid="{00000000-0006-0000-0000-0000BC000000}">
      <text>
        <r>
          <rPr>
            <b/>
            <sz val="11"/>
            <color indexed="81"/>
            <rFont val="Vandra"/>
          </rPr>
          <t>e-mail sent sept 15-25-26  requesting new revised Date.
Changed from May-17-26</t>
        </r>
      </text>
    </comment>
    <comment ref="H149" authorId="0" shapeId="0" xr:uid="{00000000-0006-0000-0000-0000BD000000}">
      <text>
        <r>
          <rPr>
            <b/>
            <sz val="11"/>
            <color indexed="81"/>
            <rFont val="Vandra"/>
          </rPr>
          <t>Entered order on Sept-9-25 and signed acceptance Sept-9-25  so busy submitted only submitted dwgs on Sept-22-25</t>
        </r>
      </text>
    </comment>
    <comment ref="L152" authorId="0" shapeId="0" xr:uid="{00000000-0006-0000-0000-0000BE000000}">
      <text>
        <r>
          <rPr>
            <b/>
            <sz val="11"/>
            <color indexed="81"/>
            <rFont val="Vandra"/>
          </rPr>
          <t>Herlette Entered- Was off</t>
        </r>
      </text>
    </comment>
    <comment ref="L153" authorId="0" shapeId="0" xr:uid="{00000000-0006-0000-0000-0000BF000000}">
      <text>
        <r>
          <rPr>
            <b/>
            <sz val="11"/>
            <color indexed="81"/>
            <rFont val="Vandra"/>
          </rPr>
          <t>Herlette Entered- Was off</t>
        </r>
      </text>
    </comment>
    <comment ref="L154" authorId="0" shapeId="0" xr:uid="{00000000-0006-0000-0000-0000C0000000}">
      <text>
        <r>
          <rPr>
            <b/>
            <sz val="11"/>
            <color indexed="81"/>
            <rFont val="Vandra"/>
          </rPr>
          <t>Herlette Entered- Was off</t>
        </r>
      </text>
    </comment>
    <comment ref="L155" authorId="0" shapeId="0" xr:uid="{00000000-0006-0000-0000-0000C1000000}">
      <text>
        <r>
          <rPr>
            <b/>
            <sz val="11"/>
            <color indexed="81"/>
            <rFont val="Vandra"/>
          </rPr>
          <t>Herlette Entered- Was off</t>
        </r>
      </text>
    </comment>
    <comment ref="L156" authorId="0" shapeId="0" xr:uid="{00000000-0006-0000-0000-0000C2000000}">
      <text>
        <r>
          <rPr>
            <b/>
            <sz val="11"/>
            <color indexed="81"/>
            <rFont val="Vandra"/>
          </rPr>
          <t>Herlette Entered- Was off</t>
        </r>
      </text>
    </comment>
    <comment ref="L157" authorId="0" shapeId="0" xr:uid="{00000000-0006-0000-0000-0000C3000000}">
      <text>
        <r>
          <rPr>
            <b/>
            <sz val="11"/>
            <color indexed="81"/>
            <rFont val="Vandra"/>
          </rPr>
          <t>Herlette Entered- Was off</t>
        </r>
      </text>
    </comment>
    <comment ref="P159" authorId="0" shapeId="0" xr:uid="{00000000-0006-0000-0000-0000C4000000}">
      <text>
        <r>
          <rPr>
            <b/>
            <sz val="11"/>
            <color indexed="81"/>
            <rFont val="Vandra"/>
          </rPr>
          <t xml:space="preserve">Original PO Date was Feb-5-25, Steve, Olivier &amp; Gus - Pushed out to Feb-23-26
</t>
        </r>
      </text>
    </comment>
    <comment ref="P160" authorId="0" shapeId="0" xr:uid="{00000000-0006-0000-0000-0000C5000000}">
      <text>
        <r>
          <rPr>
            <b/>
            <sz val="11"/>
            <color indexed="81"/>
            <rFont val="Vandra"/>
          </rPr>
          <t xml:space="preserve">Original PO Date was Feb-5-25, Steve, Olivier &amp; Gus - Pushed out to Feb-26-25
</t>
        </r>
      </text>
    </comment>
    <comment ref="P161" authorId="0" shapeId="0" xr:uid="{00000000-0006-0000-0000-0000C6000000}">
      <text>
        <r>
          <rPr>
            <b/>
            <sz val="11"/>
            <color indexed="81"/>
            <rFont val="Vandra"/>
          </rPr>
          <t xml:space="preserve">Original PO Date was Feb-5-25, Steve, Olivier &amp; Gus - Pushed out to Feb-26-25
</t>
        </r>
      </text>
    </comment>
    <comment ref="P162" authorId="0" shapeId="0" xr:uid="{00000000-0006-0000-0000-0000C7000000}">
      <text>
        <r>
          <rPr>
            <b/>
            <sz val="11"/>
            <color indexed="81"/>
            <rFont val="Vandra"/>
          </rPr>
          <t xml:space="preserve">Original PO Date was Feb-5-25, Steve, Olivier &amp; Gus - Pushed out to Feb-26-25
</t>
        </r>
      </text>
    </comment>
    <comment ref="P163" authorId="0" shapeId="0" xr:uid="{00000000-0006-0000-0000-0000C8000000}">
      <text>
        <r>
          <rPr>
            <b/>
            <sz val="11"/>
            <color indexed="81"/>
            <rFont val="Vandra"/>
          </rPr>
          <t xml:space="preserve">Original PO Date was Feb-5-25, Steve, Olivier &amp; Gus - Pushed out to Feb-26-25
</t>
        </r>
      </text>
    </comment>
    <comment ref="P164" authorId="0" shapeId="0" xr:uid="{00000000-0006-0000-0000-0000C9000000}">
      <text>
        <r>
          <rPr>
            <b/>
            <sz val="11"/>
            <color indexed="81"/>
            <rFont val="Vandra"/>
          </rPr>
          <t xml:space="preserve">Original PO Date was Feb-5-25, Steve, Olivier &amp; Gus - Pushed out to Feb-26-25
</t>
        </r>
      </text>
    </comment>
    <comment ref="P165" authorId="0" shapeId="0" xr:uid="{00000000-0006-0000-0000-0000CA000000}">
      <text>
        <r>
          <rPr>
            <b/>
            <sz val="11"/>
            <color indexed="81"/>
            <rFont val="Vandra"/>
          </rPr>
          <t xml:space="preserve">Original PO Date was Feb-5-25, Steve, Olivier &amp; Gus - Pushed out to Feb-26-25
</t>
        </r>
      </text>
    </comment>
    <comment ref="P167" authorId="0" shapeId="0" xr:uid="{00000000-0006-0000-0000-0000CB000000}">
      <text>
        <r>
          <rPr>
            <b/>
            <sz val="11"/>
            <color indexed="81"/>
            <rFont val="Vandra"/>
          </rPr>
          <t>Original PO Date was Jan-30-26, but Steve, Olivier &amp; Gus moved it to Feb-27-26</t>
        </r>
      </text>
    </comment>
    <comment ref="P168" authorId="0" shapeId="0" xr:uid="{00000000-0006-0000-0000-0000CC000000}">
      <text>
        <r>
          <rPr>
            <b/>
            <sz val="11"/>
            <color indexed="81"/>
            <rFont val="Vandra"/>
          </rPr>
          <t>Original PO Date was Jan-30-26, but Steve, Olivier &amp; Gus moved it to Feb-27-26</t>
        </r>
      </text>
    </comment>
    <comment ref="P169" authorId="0" shapeId="0" xr:uid="{00000000-0006-0000-0000-0000CD000000}">
      <text>
        <r>
          <rPr>
            <b/>
            <sz val="11"/>
            <color indexed="81"/>
            <rFont val="Vandra"/>
          </rPr>
          <t>Original PO Date was Jan-30-26, but Steve, Olivier &amp; Gus moved it to Feb-27-26</t>
        </r>
      </text>
    </comment>
    <comment ref="L170" authorId="0" shapeId="0" xr:uid="{00000000-0006-0000-0000-0000CE000000}">
      <text>
        <r>
          <rPr>
            <b/>
            <sz val="11"/>
            <color indexed="81"/>
            <rFont val="Vandra"/>
          </rPr>
          <t>Quote Submitted Nov-27-25 for X piece of Tool EF Tool Rack-  RT-88000-0300-000-1-GA-E  LP-251127- recvd Approval to proceed on Dec-3-2025 @ 10:34</t>
        </r>
      </text>
    </comment>
    <comment ref="E172" authorId="0" shapeId="0" xr:uid="{00000000-0006-0000-0000-0000CF000000}">
      <text>
        <r>
          <rPr>
            <b/>
            <sz val="11"/>
            <color indexed="81"/>
            <rFont val="Vandra"/>
          </rPr>
          <t>Jan-6-26- e-mail Lifting Device - Paint Safety yellow</t>
        </r>
      </text>
    </comment>
    <comment ref="L172" authorId="0" shapeId="0" xr:uid="{00000000-0006-0000-0000-0000D0000000}">
      <text>
        <r>
          <rPr>
            <b/>
            <sz val="11"/>
            <color indexed="81"/>
            <rFont val="Vandra"/>
          </rPr>
          <t>ISO with supplementary Clauses
Needs Source Inspectionn</t>
        </r>
      </text>
    </comment>
    <comment ref="P172" authorId="0" shapeId="0" xr:uid="{00000000-0006-0000-0000-0000D1000000}">
      <text>
        <r>
          <rPr>
            <b/>
            <sz val="11"/>
            <color indexed="81"/>
            <rFont val="Vandra"/>
          </rPr>
          <t>Original Delivery : Jan-19-26, but changed to read Feb-13-26-  Accepted vial e-mail Oct-3-25 per Sanchia</t>
        </r>
      </text>
    </comment>
    <comment ref="E173" authorId="0" shapeId="0" xr:uid="{00000000-0006-0000-0000-0000D2000000}">
      <text>
        <r>
          <rPr>
            <b/>
            <sz val="11"/>
            <color indexed="81"/>
            <rFont val="Vandra"/>
          </rPr>
          <t>Jan-6-26- e-mail Lifting Device - Paint Safety yellow</t>
        </r>
      </text>
    </comment>
    <comment ref="L173" authorId="0" shapeId="0" xr:uid="{00000000-0006-0000-0000-0000D3000000}">
      <text>
        <r>
          <rPr>
            <b/>
            <sz val="11"/>
            <color indexed="81"/>
            <rFont val="Vandra"/>
          </rPr>
          <t>ISO with supplementary Clauses
Needs Source Inspectionn</t>
        </r>
      </text>
    </comment>
    <comment ref="E174" authorId="0" shapeId="0" xr:uid="{00000000-0006-0000-0000-0000D4000000}">
      <text>
        <r>
          <rPr>
            <b/>
            <sz val="11"/>
            <color indexed="81"/>
            <rFont val="Vandra"/>
          </rPr>
          <t>Jan-6-26- e-mail Lifting Device - Paint Safety yellow</t>
        </r>
      </text>
    </comment>
    <comment ref="L174" authorId="0" shapeId="0" xr:uid="{00000000-0006-0000-0000-0000D5000000}">
      <text>
        <r>
          <rPr>
            <b/>
            <sz val="11"/>
            <color indexed="81"/>
            <rFont val="Vandra"/>
          </rPr>
          <t>ISO with supplementary Clauses
Needs Source Inspectionn</t>
        </r>
      </text>
    </comment>
    <comment ref="E175" authorId="0" shapeId="0" xr:uid="{00000000-0006-0000-0000-0000D6000000}">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175" authorId="0" shapeId="0" xr:uid="{00000000-0006-0000-0000-0000D7000000}">
      <text>
        <r>
          <rPr>
            <b/>
            <sz val="11"/>
            <color indexed="81"/>
            <rFont val="Vandra"/>
          </rPr>
          <t>ISO with supplementary Clauses
Needs Source Inspectionn</t>
        </r>
      </text>
    </comment>
    <comment ref="E176" authorId="0" shapeId="0" xr:uid="{00000000-0006-0000-0000-0000D8000000}">
      <text>
        <r>
          <rPr>
            <b/>
            <sz val="11"/>
            <color indexed="81"/>
            <rFont val="Vandra"/>
          </rPr>
          <t>Jan-6-26- e-mail Lifting Device - Paint Safety yellow</t>
        </r>
      </text>
    </comment>
    <comment ref="L176" authorId="0" shapeId="0" xr:uid="{00000000-0006-0000-0000-0000D9000000}">
      <text>
        <r>
          <rPr>
            <b/>
            <sz val="11"/>
            <color indexed="81"/>
            <rFont val="Vandra"/>
          </rPr>
          <t>ISO with supplementary Clauses
Needs Source Inspectionn</t>
        </r>
      </text>
    </comment>
    <comment ref="L180" authorId="0" shapeId="0" xr:uid="{00000000-0006-0000-0000-0000DC000000}">
      <text>
        <r>
          <rPr>
            <b/>
            <sz val="11"/>
            <color indexed="81"/>
            <rFont val="Vandra"/>
          </rPr>
          <t xml:space="preserve">Rev.1 PO recve- Dec-23-25
</t>
        </r>
      </text>
    </comment>
    <comment ref="P180" authorId="0" shapeId="0" xr:uid="{00000000-0006-0000-0000-0000DD00000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82" authorId="0" shapeId="0" xr:uid="{00000000-0006-0000-0000-0000E0000000}">
      <text>
        <r>
          <rPr>
            <b/>
            <sz val="14"/>
            <color indexed="81"/>
            <rFont val="Vandra"/>
          </rPr>
          <t>Same as j# 72692-72708
AS program: Z299.4</t>
        </r>
      </text>
    </comment>
    <comment ref="L183" authorId="0" shapeId="0" xr:uid="{00000000-0006-0000-0000-0000E1000000}">
      <text>
        <r>
          <rPr>
            <b/>
            <sz val="14"/>
            <color indexed="81"/>
            <rFont val="Vandra"/>
          </rPr>
          <t>Same as j# 72692-72708
AS program: Z299.4</t>
        </r>
      </text>
    </comment>
    <comment ref="L184" authorId="0" shapeId="0" xr:uid="{00000000-0006-0000-0000-0000E2000000}">
      <text>
        <r>
          <rPr>
            <b/>
            <sz val="14"/>
            <color indexed="81"/>
            <rFont val="Vandra"/>
          </rPr>
          <t>Same as j# 72692-72708
AS program: Z299.4</t>
        </r>
      </text>
    </comment>
    <comment ref="L185" authorId="0" shapeId="0" xr:uid="{00000000-0006-0000-0000-0000E3000000}">
      <text>
        <r>
          <rPr>
            <b/>
            <sz val="14"/>
            <color indexed="81"/>
            <rFont val="Vandra"/>
          </rPr>
          <t>Same as j# 72692-72708
AS program: Z299.4</t>
        </r>
      </text>
    </comment>
    <comment ref="L186" authorId="0" shapeId="0" xr:uid="{00000000-0006-0000-0000-0000E4000000}">
      <text>
        <r>
          <rPr>
            <b/>
            <sz val="14"/>
            <color indexed="81"/>
            <rFont val="Vandra"/>
          </rPr>
          <t>Same as j# 72692-72708
AS program: Z299.4</t>
        </r>
      </text>
    </comment>
    <comment ref="L187" authorId="0" shapeId="0" xr:uid="{00000000-0006-0000-0000-0000E5000000}">
      <text>
        <r>
          <rPr>
            <b/>
            <sz val="14"/>
            <color indexed="81"/>
            <rFont val="Vandra"/>
          </rPr>
          <t>Same as j# 72692-72708
AS program: Z299.4</t>
        </r>
      </text>
    </comment>
    <comment ref="L188" authorId="0" shapeId="0" xr:uid="{00000000-0006-0000-0000-0000E6000000}">
      <text>
        <r>
          <rPr>
            <b/>
            <sz val="14"/>
            <color indexed="81"/>
            <rFont val="Vandra"/>
          </rPr>
          <t>Same as j# 72692-72708
AS program: Z299.4</t>
        </r>
      </text>
    </comment>
    <comment ref="L189" authorId="0" shapeId="0" xr:uid="{00000000-0006-0000-0000-0000E7000000}">
      <text>
        <r>
          <rPr>
            <b/>
            <sz val="14"/>
            <color indexed="81"/>
            <rFont val="Vandra"/>
          </rPr>
          <t>Same as j# 72692-72708
AS program: Z299.4</t>
        </r>
      </text>
    </comment>
    <comment ref="L190" authorId="0" shapeId="0" xr:uid="{00000000-0006-0000-0000-0000E8000000}">
      <text>
        <r>
          <rPr>
            <b/>
            <sz val="14"/>
            <color indexed="81"/>
            <rFont val="Vandra"/>
          </rPr>
          <t>Same as j# 72692-72708
AS program: Z299.4</t>
        </r>
      </text>
    </comment>
    <comment ref="L191" authorId="0" shapeId="0" xr:uid="{00000000-0006-0000-0000-0000E9000000}">
      <text>
        <r>
          <rPr>
            <b/>
            <sz val="14"/>
            <color indexed="81"/>
            <rFont val="Vandra"/>
          </rPr>
          <t>Same as j# 72692-72708
AS program: Z299.4</t>
        </r>
      </text>
    </comment>
    <comment ref="L192" authorId="0" shapeId="0" xr:uid="{00000000-0006-0000-0000-0000EA000000}">
      <text>
        <r>
          <rPr>
            <b/>
            <sz val="14"/>
            <color indexed="81"/>
            <rFont val="Vandra"/>
          </rPr>
          <t>Same as j# 72692-72708
AS program: Z299.4</t>
        </r>
      </text>
    </comment>
    <comment ref="L193" authorId="0" shapeId="0" xr:uid="{00000000-0006-0000-0000-0000EB000000}">
      <text>
        <r>
          <rPr>
            <b/>
            <sz val="14"/>
            <color indexed="81"/>
            <rFont val="Vandra"/>
          </rPr>
          <t>Same as j# 72692-72708
AS program: Z299.4</t>
        </r>
      </text>
    </comment>
    <comment ref="L194" authorId="0" shapeId="0" xr:uid="{00000000-0006-0000-0000-0000EC000000}">
      <text>
        <r>
          <rPr>
            <b/>
            <sz val="14"/>
            <color indexed="81"/>
            <rFont val="Vandra"/>
          </rPr>
          <t>Same as j# 72692-72708
AS program: Z299.4</t>
        </r>
      </text>
    </comment>
    <comment ref="L195" authorId="0" shapeId="0" xr:uid="{00000000-0006-0000-0000-0000ED000000}">
      <text>
        <r>
          <rPr>
            <b/>
            <sz val="14"/>
            <color indexed="81"/>
            <rFont val="Vandra"/>
          </rPr>
          <t>Same as j# 72692-72708
AS program: Z299.4</t>
        </r>
      </text>
    </comment>
    <comment ref="L196" authorId="0" shapeId="0" xr:uid="{00000000-0006-0000-0000-0000EE000000}">
      <text>
        <r>
          <rPr>
            <b/>
            <sz val="14"/>
            <color indexed="81"/>
            <rFont val="Vandra"/>
          </rPr>
          <t>Same as j# 72692-72708
AS program: Z299.4</t>
        </r>
      </text>
    </comment>
    <comment ref="L197" authorId="0" shapeId="0" xr:uid="{00000000-0006-0000-0000-0000EF000000}">
      <text>
        <r>
          <rPr>
            <b/>
            <sz val="14"/>
            <color indexed="81"/>
            <rFont val="Vandra"/>
          </rPr>
          <t>Same as j# 72692-72708
AS program: Z299.4</t>
        </r>
      </text>
    </comment>
    <comment ref="L198" authorId="0" shapeId="0" xr:uid="{00000000-0006-0000-0000-0000F0000000}">
      <text>
        <r>
          <rPr>
            <b/>
            <sz val="14"/>
            <color indexed="81"/>
            <rFont val="Vandra"/>
          </rPr>
          <t>Same as j# 72692-72708
AS program: Z299.4</t>
        </r>
      </text>
    </comment>
    <comment ref="J200" authorId="0" shapeId="0" xr:uid="{00000000-0006-0000-0000-0000F3000000}">
      <text>
        <r>
          <rPr>
            <b/>
            <sz val="11"/>
            <color indexed="81"/>
            <rFont val="Vandra"/>
          </rPr>
          <t>Nov-15-25- Olivier said to make 10 +10 stock for upcoming Assy, since we're already making 700 pcs
save on cost</t>
        </r>
      </text>
    </comment>
    <comment ref="D202" authorId="0" shapeId="0" xr:uid="{00000000-0006-0000-0000-0000F6000000}">
      <text>
        <r>
          <rPr>
            <sz val="12"/>
            <color indexed="81"/>
            <rFont val="Arial"/>
            <family val="2"/>
          </rPr>
          <t>12,000- pcs - shipped
4500- pcs   Shipped
1500-pcs  shipped
3000-pcs   shipped
4500-pcs  shipped
4500-pcs  shipped
6000- pcs shipped
6000-pcs  shipped
6000- pcs  shipped
4000-pcs   shipped
6,000 pcs   shipped
6,000 pcs   Shipped
6,000 pcs   Shipped
6,000 pcs  Shipped
12,000 pcs  Shipped</t>
        </r>
      </text>
    </comment>
    <comment ref="M202" authorId="0" shapeId="0" xr:uid="{00000000-0006-0000-0000-0000F7000000}">
      <text>
        <r>
          <rPr>
            <b/>
            <sz val="12"/>
            <color indexed="81"/>
            <rFont val="Vandra"/>
          </rPr>
          <t>12,000  pcs    PS# 44837
4,500  pcs      PS#  44868
1500  pcs       PS#  44877
3000  pcs       PS# 44887
4500 pcs        PS# 44903
4500 pcs        PS# 44911
6000 pcs        PS# 44928
6000 pcs        PS# 44963
6000 pcs        P.S# 45027
6000 pcs        P.S# 45051
6000 pcs        P.S# 45080
6000 pcs        P.S# 45100
6000 pcs        P.S# 45145
12,000 pcs     PS#  45177</t>
        </r>
      </text>
    </comment>
    <comment ref="N202" authorId="0" shapeId="0" xr:uid="{00000000-0006-0000-0000-0000F8000000}">
      <text>
        <r>
          <rPr>
            <b/>
            <sz val="12"/>
            <color indexed="81"/>
            <rFont val="Vandra"/>
          </rPr>
          <t>12,000 pcs
4500 pcs
3000 pcs
4500 pcs
4500 pcs
6000 pcs
6000 pcs
6000 pcs
6000 pcs
6000 pcs
12,000 pcs</t>
        </r>
      </text>
    </comment>
    <comment ref="O202" authorId="0" shapeId="0" xr:uid="{00000000-0006-0000-0000-0000F9000000}">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
Inv 53210 6,000    02/1126
Inv 53265 6,000  03/12/26
Inv 53285 6,000  03/26/26
Inv 53303 6,000  04/10/26
Inv 53320 6,000  04/15/26
Inv 53395 6,000  05/19/26
Inv 53422 12,000 06/18/26</t>
        </r>
      </text>
    </comment>
    <comment ref="Q202" authorId="0" shapeId="0" xr:uid="{00000000-0006-0000-0000-0000FA000000}">
      <text>
        <r>
          <rPr>
            <b/>
            <sz val="12"/>
            <color indexed="81"/>
            <rFont val="Vandra"/>
          </rPr>
          <t xml:space="preserve">12.000-  pcs  - shipd  Nov-18-25
4500 pcs      - shipd   Dec-9-25
1500-pcs      - shipd   Dec-11-25
3000-pcs      -shipd   Dec-17-25
4500-pcs      -shipd   Jan-5-26
4500-pcs      -shipd   Jan-9-26
6000-pcs      -shipd   Jan-21-26
6000-pcs      -shipd   Feb-12-26
6000-pcs      -shipd   Mar-12-26
6000-pcs      -shipd   Mar-26-26
6000-pcs     - shipd   April-10-26
6000-pcs     - shipd    April 15-26
6000-pcs     - shipd     May-19-26
12,000 pcs     Shpd     June-17-26
</t>
        </r>
      </text>
    </comment>
    <comment ref="P204" authorId="0" shapeId="0" xr:uid="{00000000-0006-0000-0000-0000FC000000}">
      <text>
        <r>
          <rPr>
            <b/>
            <sz val="11"/>
            <color indexed="81"/>
            <rFont val="Vandra"/>
          </rPr>
          <t>Original PO Date was for Dec-19-25, but quoted 3.1/2-4 weeks and that falls for Jan-5-26.
PS# 44858 was made in error and showed as delivered.
It should have been J# 72960 that was shipped.</t>
        </r>
      </text>
    </comment>
    <comment ref="L206" authorId="0" shapeId="0" xr:uid="{00000000-0006-0000-0000-00000B010000}">
      <text>
        <r>
          <rPr>
            <b/>
            <sz val="11"/>
            <color indexed="81"/>
            <rFont val="Vandra"/>
          </rPr>
          <t>New Rev.2 PO recve Dec-23-2025 to add extra parts
Feb-5-26- Revised Quote# LP-260108-1 -Rev.1 submitted to Laila to capture the $ 650 for QA Documents</t>
        </r>
      </text>
    </comment>
    <comment ref="P206" authorId="0" shapeId="0" xr:uid="{00000000-0006-0000-0000-00000C010000}">
      <text>
        <r>
          <rPr>
            <b/>
            <sz val="11"/>
            <color indexed="81"/>
            <rFont val="Vandra"/>
          </rPr>
          <t>Original Order was showing  Feb-20-26, but requested New Date of May--2026- Accepted Via e-mail Jan-15-2026</t>
        </r>
      </text>
    </comment>
    <comment ref="E208" authorId="0" shapeId="0" xr:uid="{00000000-0006-0000-0000-000015010000}">
      <text>
        <r>
          <rPr>
            <b/>
            <sz val="11"/>
            <color indexed="81"/>
            <rFont val="Vandra"/>
          </rPr>
          <t>Olivier will order from Vegas Fasteners MFG # 62436</t>
        </r>
      </text>
    </comment>
    <comment ref="L208" authorId="0" shapeId="0" xr:uid="{00000000-0006-0000-0000-000016010000}">
      <text>
        <r>
          <rPr>
            <b/>
            <sz val="12"/>
            <color indexed="81"/>
            <rFont val="Vandra"/>
          </rPr>
          <t>Pickering Project
Jan-5-26- Anu Requested Partial Shipment.
Feb-3-26- E-mail Requet for And additional 50 pcs Cap Screws</t>
        </r>
      </text>
    </comment>
    <comment ref="O208" authorId="0" shapeId="0" xr:uid="{00000000-0006-0000-0000-000017010000}">
      <text>
        <r>
          <rPr>
            <b/>
            <sz val="11"/>
            <color indexed="81"/>
            <rFont val="Vandra"/>
          </rPr>
          <t>1st Milestone 30%   Inv# 53181</t>
        </r>
      </text>
    </comment>
    <comment ref="P208" authorId="0" shapeId="0" xr:uid="{00000000-0006-0000-0000-000018010000}">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L210" authorId="0" shapeId="0" xr:uid="{00000000-0006-0000-0000-00001F010000}">
      <text>
        <r>
          <rPr>
            <b/>
            <sz val="11"/>
            <color indexed="81"/>
            <rFont val="Vandra"/>
          </rPr>
          <t>Feb-5-26-  All procedure submitted Pending approval</t>
        </r>
      </text>
    </comment>
    <comment ref="L214" authorId="0" shapeId="0" xr:uid="{00000000-0006-0000-0000-000026010000}">
      <text>
        <r>
          <rPr>
            <b/>
            <sz val="11"/>
            <color indexed="81"/>
            <rFont val="Vandra"/>
          </rPr>
          <t>REF Quote# LP-260108-R.1, OK to proceed per E-mail from Laila Jan-15-26</t>
        </r>
      </text>
    </comment>
    <comment ref="L216" authorId="0" shapeId="0" xr:uid="{00000000-0006-0000-0000-000029010000}">
      <text>
        <r>
          <rPr>
            <b/>
            <sz val="11"/>
            <color indexed="81"/>
            <rFont val="Vandra"/>
          </rPr>
          <t>CAT B1- Filled out Contract Review check list for this order to try</t>
        </r>
      </text>
    </comment>
    <comment ref="L220" authorId="0" shapeId="0" xr:uid="{00000000-0006-0000-0000-000030010000}">
      <text>
        <r>
          <rPr>
            <b/>
            <sz val="11"/>
            <color indexed="81"/>
            <rFont val="Vandra"/>
          </rPr>
          <t>Jan-29-26- PO is showing Rev-2- not signed back at the moment, because CANDU has to update to update PO to add $ 2500 for QA Doc Package, which will make it REV.3
Feb-25-26- Rev.3 of PO Recvd</t>
        </r>
      </text>
    </comment>
    <comment ref="P222" authorId="0" shapeId="0" xr:uid="{04AE76D5-CBB7-49D2-86D6-6CDB825EDF3A}">
      <text>
        <r>
          <rPr>
            <b/>
            <sz val="11"/>
            <color indexed="81"/>
            <rFont val="Vandra"/>
          </rPr>
          <t>March-6-26- As per Olivier he said this will have to be pushed out another 5-6 weeks.  Sent e-mail requesting guidance.</t>
        </r>
      </text>
    </comment>
    <comment ref="M224" authorId="0" shapeId="0" xr:uid="{3A658016-C402-4B70-AD7D-29CD27A9973C}">
      <text>
        <r>
          <rPr>
            <b/>
            <sz val="11"/>
            <color indexed="81"/>
            <rFont val="Vandra"/>
          </rPr>
          <t>PS 45141 1 pc 5/14/26</t>
        </r>
      </text>
    </comment>
    <comment ref="O224" authorId="0" shapeId="0" xr:uid="{6B5C6FF7-5959-4601-BA77-95CC3BFE9B8F}">
      <text>
        <r>
          <rPr>
            <b/>
            <sz val="11"/>
            <color indexed="81"/>
            <rFont val="Vandra"/>
          </rPr>
          <t>Inv 53393  5/14/26</t>
        </r>
      </text>
    </comment>
    <comment ref="L226" authorId="0" shapeId="0" xr:uid="{A9EF11A1-2186-4B5E-9745-CFEF95F3CA3A}">
      <text>
        <r>
          <rPr>
            <b/>
            <sz val="11"/>
            <color indexed="81"/>
            <rFont val="Vandra"/>
          </rPr>
          <t>June-4-26- I asked Koi to check and he said Olivier said Dwgs has to be made , and Job not started yet</t>
        </r>
      </text>
    </comment>
    <comment ref="E244" authorId="0" shapeId="0" xr:uid="{BBBF72E6-B7B9-4541-86B9-9527F8A2FDEC}">
      <text>
        <r>
          <rPr>
            <b/>
            <sz val="11"/>
            <color indexed="81"/>
            <rFont val="Vandra"/>
          </rPr>
          <t>r/w to RT-88000-70030-002-01-DD-C</t>
        </r>
      </text>
    </comment>
    <comment ref="Q253" authorId="0" shapeId="0" xr:uid="{9C2DCEE0-6088-422D-8A51-98262A6AE8C7}">
      <text>
        <r>
          <rPr>
            <b/>
            <sz val="11"/>
            <color indexed="81"/>
            <rFont val="Vandra"/>
          </rPr>
          <t>Shipped Via Purolator # 335877448647;
P/U Ref: 22967518</t>
        </r>
      </text>
    </comment>
    <comment ref="D261" authorId="0" shapeId="0" xr:uid="{5EA3FEE3-E85F-4845-8D3D-47EE02970DE1}">
      <text>
        <r>
          <rPr>
            <b/>
            <sz val="11"/>
            <color indexed="81"/>
            <rFont val="Vandra"/>
          </rPr>
          <t>July-7-26- Bobby  took 1 of the adjustable injector with him- we only shipped 2 pcs to Huntsville
Shipped out parts Via Fed ex- tracking # 874109457530 pu id/ CPU61444011961892</t>
        </r>
      </text>
    </comment>
    <comment ref="E264" authorId="0" shapeId="0" xr:uid="{4DF83192-4BAB-49C2-8EBB-F1BCD57F4EBB}">
      <text>
        <r>
          <rPr>
            <b/>
            <sz val="11"/>
            <color indexed="81"/>
            <rFont val="Vandra"/>
          </rPr>
          <t>May-4-26- E-mail recvd from Scott Wilson - PUT order on Hold.
Quote Sent  SW-260515 For extra cost
June-5-26- Recvd New Revision of PO Which Removes Polyurethane Casting
June-8-26- New Quote SW-260608 sent in only for part # 700650806 - 700650803 is cancelled as per Steve, as ATS will be using Aluminum Rings?</t>
        </r>
      </text>
    </comment>
    <comment ref="F272" authorId="0" shapeId="0" xr:uid="{1AC72E01-FB2A-42FC-AECC-9248E8AEB093}">
      <text>
        <r>
          <rPr>
            <b/>
            <sz val="11"/>
            <color indexed="81"/>
            <rFont val="Vandra"/>
          </rPr>
          <t>New Rev.2 Recvd May-19-26</t>
        </r>
      </text>
    </comment>
    <comment ref="L272" authorId="0" shapeId="0" xr:uid="{FE099882-9984-4557-B682-46A224DC4D22}">
      <text>
        <r>
          <rPr>
            <b/>
            <sz val="11"/>
            <color indexed="81"/>
            <rFont val="Vandra"/>
          </rPr>
          <t>May-25-26- AS per Jude Olivier is making these parts in Japan as Gus said he does not have any time.</t>
        </r>
      </text>
    </comment>
    <comment ref="L275" authorId="0" shapeId="0" xr:uid="{840F8580-BD89-4679-81DB-CAE30EE99340}">
      <text>
        <r>
          <rPr>
            <b/>
            <sz val="11"/>
            <color indexed="81"/>
            <rFont val="Vandra"/>
          </rPr>
          <t>May-25-26- New Shipping Address Recvd: PO Rev.3
ATS Industrial Automation
255 Intermarket Road; Door 52-54
Cambridge, Omtario  N3H-4R</t>
        </r>
      </text>
    </comment>
    <comment ref="E278" authorId="0" shapeId="0" xr:uid="{8BD9D393-1ABC-4BC0-BBC9-64BEDD989F94}">
      <text>
        <r>
          <rPr>
            <b/>
            <sz val="11"/>
            <color indexed="81"/>
            <rFont val="Vandra"/>
          </rPr>
          <t>Olivier said that Greg put this order on Hold, He just wants us to order material only</t>
        </r>
      </text>
    </comment>
    <comment ref="L278" authorId="0" shapeId="0" xr:uid="{F6B28593-09F8-4EF5-BEAF-55DA34806F78}">
      <text>
        <r>
          <rPr>
            <b/>
            <sz val="11"/>
            <color indexed="81"/>
            <rFont val="Vandra"/>
          </rPr>
          <t>Contract Review filled out</t>
        </r>
      </text>
    </comment>
    <comment ref="L282" authorId="0" shapeId="0" xr:uid="{75EF7267-F9F5-4C9F-9EAA-7AC96BBE93DF}">
      <text>
        <r>
          <rPr>
            <b/>
            <sz val="11"/>
            <color indexed="81"/>
            <rFont val="Vandra"/>
          </rPr>
          <t>Ref: Quote #SW-260428, also included 700741776 &amp; 700741774</t>
        </r>
      </text>
    </comment>
    <comment ref="L286" authorId="0" shapeId="0" xr:uid="{6B91F6C9-30CD-4CFC-9C07-ECA774E4CC9E}">
      <text>
        <r>
          <rPr>
            <b/>
            <sz val="11"/>
            <color indexed="81"/>
            <rFont val="Vandra"/>
          </rPr>
          <t xml:space="preserve">contract Review
New Rev.16 recvd  June17-26- Changing Delivery Address
</t>
        </r>
      </text>
    </comment>
    <comment ref="F288" authorId="0" shapeId="0" xr:uid="{37914182-9370-4281-A66F-4B3B5EDC88DC}">
      <text>
        <r>
          <rPr>
            <b/>
            <sz val="11"/>
            <color indexed="81"/>
            <rFont val="Vandra"/>
          </rPr>
          <t>New Rev.AC recvd by PO REV # 16 June-17-26</t>
        </r>
      </text>
    </comment>
    <comment ref="L293" authorId="0" shapeId="0" xr:uid="{E1216C22-248D-427E-BFC0-800C28B39804}">
      <text>
        <r>
          <rPr>
            <b/>
            <sz val="11"/>
            <color indexed="81"/>
            <rFont val="Vandra"/>
          </rPr>
          <t>Contract Review Checklist - completed-  Oliver is making this PO in China  5-8-26</t>
        </r>
      </text>
    </comment>
    <comment ref="L299" authorId="0" shapeId="0" xr:uid="{0ABDD414-B807-4503-8D14-019BFE986332}">
      <text>
        <r>
          <rPr>
            <b/>
            <sz val="11"/>
            <color indexed="81"/>
            <rFont val="Vandra"/>
          </rPr>
          <t>Contract Review checklist completed-  Olivier is making this order in China</t>
        </r>
      </text>
    </comment>
    <comment ref="B301" authorId="0" shapeId="0" xr:uid="{421B8948-E983-434B-B239-24505EFCC4A7}">
      <text>
        <r>
          <rPr>
            <b/>
            <sz val="11"/>
            <color indexed="81"/>
            <rFont val="Vandra"/>
          </rPr>
          <t>we are making these parts in house</t>
        </r>
      </text>
    </comment>
    <comment ref="L301" authorId="0" shapeId="0" xr:uid="{167C8558-711B-4D19-BC43-06A923205BC6}">
      <text>
        <r>
          <rPr>
            <b/>
            <sz val="11"/>
            <color indexed="81"/>
            <rFont val="Vandra"/>
          </rPr>
          <t>contract review checklist completed</t>
        </r>
      </text>
    </comment>
    <comment ref="L304" authorId="0" shapeId="0" xr:uid="{F86E52F0-D8BD-428A-AF90-D1CF7A276516}">
      <text>
        <r>
          <rPr>
            <b/>
            <sz val="11"/>
            <color indexed="81"/>
            <rFont val="Vandra"/>
          </rPr>
          <t>May-8-26- Olivier is making this part in China</t>
        </r>
      </text>
    </comment>
    <comment ref="L306" authorId="0" shapeId="0" xr:uid="{C95DE6B9-5293-4A6C-88BA-8F1469870EA2}">
      <text>
        <r>
          <rPr>
            <b/>
            <sz val="11"/>
            <color indexed="81"/>
            <rFont val="Vandra"/>
          </rPr>
          <t xml:space="preserve">May-25-26- New Shipping Address Recvd:  PO Rev.6
ATS Industrial Automation
255 Intermarket Road; Door 52-54
Cambridge, Omtario  N3H-4R
</t>
        </r>
      </text>
    </comment>
    <comment ref="P306" authorId="0" shapeId="0" xr:uid="{3B033B46-A191-4242-8739-609971732A28}">
      <text>
        <r>
          <rPr>
            <b/>
            <sz val="11"/>
            <color indexed="81"/>
            <rFont val="Vandra"/>
          </rPr>
          <t xml:space="preserve">Steve &amp; Gus Promised these pieces for delivery </t>
        </r>
      </text>
    </comment>
    <comment ref="E316" authorId="0" shapeId="0" xr:uid="{1EB170DD-6969-4166-A39C-15EF9E2B4638}">
      <text>
        <r>
          <rPr>
            <b/>
            <sz val="11"/>
            <color indexed="81"/>
            <rFont val="Vandra"/>
          </rPr>
          <t>May-20-26- As per Lester he said Tony put this part on HOLD or might even cancel. Mcmaster parts already ordered</t>
        </r>
      </text>
    </comment>
    <comment ref="E320" authorId="0" shapeId="0" xr:uid="{C941AC4F-7C44-4458-B707-B112B8C7B9F6}">
      <text>
        <r>
          <rPr>
            <b/>
            <sz val="11"/>
            <color indexed="81"/>
            <rFont val="Vandra"/>
          </rPr>
          <t>May-20-26-  Olivier to purchase material for Greg Lee-  might turn into an order</t>
        </r>
      </text>
    </comment>
    <comment ref="L322" authorId="0" shapeId="0" xr:uid="{4AD41EE8-8BB8-4C59-B817-BA3C6AB21541}">
      <text>
        <r>
          <rPr>
            <b/>
            <sz val="11"/>
            <color indexed="81"/>
            <rFont val="Vandra"/>
          </rPr>
          <t>filled out Contract Review &amp; attached with Quote &amp; PO</t>
        </r>
      </text>
    </comment>
    <comment ref="L337" authorId="0" shapeId="0" xr:uid="{F9722641-AA11-4E87-BDB6-CA3EBB330971}">
      <text>
        <r>
          <rPr>
            <b/>
            <sz val="11"/>
            <color indexed="81"/>
            <rFont val="Vandra"/>
          </rPr>
          <t>Olivier is making these parts in Japan- same as RT79</t>
        </r>
      </text>
    </comment>
    <comment ref="F340" authorId="0" shapeId="0" xr:uid="{371D165E-2D91-472B-B92A-FD606605A712}">
      <text>
        <r>
          <rPr>
            <b/>
            <sz val="11"/>
            <color indexed="81"/>
            <rFont val="Vandra"/>
          </rPr>
          <t>New Rev AB recvd June-5-26-  PO Rev.3</t>
        </r>
      </text>
    </comment>
    <comment ref="L340" authorId="0" shapeId="0" xr:uid="{6727FDB7-1FFB-41A6-9E28-01A59F9B057E}">
      <text>
        <r>
          <rPr>
            <b/>
            <sz val="11"/>
            <color indexed="81"/>
            <rFont val="Vandra"/>
          </rPr>
          <t xml:space="preserve">New Rev 3 revcd June-5-26
</t>
        </r>
      </text>
    </comment>
    <comment ref="L368" authorId="0" shapeId="0" xr:uid="{A5728D01-F241-4BC1-870C-05342ED7E276}">
      <text>
        <r>
          <rPr>
            <b/>
            <sz val="11"/>
            <color indexed="81"/>
            <rFont val="Vandra"/>
          </rPr>
          <t xml:space="preserve">New Rev.10 recvd June-25-26
</t>
        </r>
      </text>
    </comment>
    <comment ref="F372" authorId="0" shapeId="0" xr:uid="{205764B2-F305-4B30-9163-4A8B6D5EB8A4}">
      <text/>
    </comment>
    <comment ref="L384" authorId="0" shapeId="0" xr:uid="{D751C64D-0A2E-403E-AEB0-7491622431B9}">
      <text>
        <r>
          <rPr>
            <b/>
            <sz val="11"/>
            <color indexed="81"/>
            <rFont val="Vandra"/>
          </rPr>
          <t>NOTE: As per Scott Wilson Part# 700827723 from PO# 93497 will be returned back to be incorporated with this PO</t>
        </r>
      </text>
    </comment>
    <comment ref="L408" authorId="0" shapeId="0" xr:uid="{3BE27C0B-8ED3-46FA-B127-5592579C9D63}">
      <text>
        <r>
          <rPr>
            <b/>
            <sz val="11"/>
            <color indexed="81"/>
            <rFont val="Vandra"/>
          </rPr>
          <t>New PO Rev recvd July-7-26 adding Line # 20</t>
        </r>
      </text>
    </comment>
    <comment ref="L440" authorId="0" shapeId="0" xr:uid="{2788CCFA-C436-4599-AEC6-30010259BCCC}">
      <text>
        <r>
          <rPr>
            <b/>
            <sz val="11"/>
            <color indexed="81"/>
            <rFont val="Vandra"/>
          </rPr>
          <t>TMR-2026-0055
Quote# TMR-260702A</t>
        </r>
      </text>
    </comment>
    <comment ref="A495" authorId="0" shapeId="0" xr:uid="{31321919-A5E1-48D9-8A20-E2D8B82E4A22}">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<sst xmlns="http://schemas.openxmlformats.org/spreadsheetml/2006/main" count="2137" uniqueCount="935">
  <si>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</si>
  <si>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</si>
  <si>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</si>
  <si>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</si>
  <si>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</si>
  <si>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</si>
  <si>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</si>
  <si>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</si>
  <si>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</si>
  <si>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</si>
  <si>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</si>
  <si>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</si>
  <si>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</si>
  <si>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</si>
  <si>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</si>
  <si>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</si>
  <si>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</si>
  <si>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</si>
  <si>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</si>
  <si>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</si>
  <si>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</si>
  <si>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</si>
  <si>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</si>
  <si>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</si>
  <si>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</si>
  <si>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</si>
  <si>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</si>
  <si>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</si>
  <si>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</si>
  <si>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</si>
  <si>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</si>
  <si>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</si>
  <si>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</si>
  <si>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</si>
  <si>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</si>
  <si>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</si>
  <si>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</si>
  <si>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</si>
  <si>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</si>
  <si>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</si>
  <si>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</si>
  <si>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</si>
  <si>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</si>
  <si>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</si>
  <si>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</si>
  <si>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</si>
  <si>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</si>
  <si>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</si>
  <si>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</si>
  <si>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</si>
  <si>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</si>
  <si>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</si>
  <si>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</si>
  <si>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</si>
  <si>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</si>
  <si>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</si>
  <si>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</si>
  <si>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</si>
  <si>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</si>
  <si>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</si>
  <si>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</si>
  <si>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</si>
  <si>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</si>
  <si>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</si>
  <si>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</si>
  <si>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</si>
  <si>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</si>
  <si>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</si>
  <si>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</si>
  <si>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</si>
  <si>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</si>
  <si>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</si>
  <si>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</si>
  <si>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</si>
  <si>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</si>
  <si>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</si>
  <si>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</si>
  <si>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</si>
  <si>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</si>
  <si>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</si>
  <si>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</si>
  <si>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</si>
  <si>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</si>
  <si>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</si>
  <si>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</si>
  <si>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</si>
  <si>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</si>
  <si>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</si>
  <si>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</si>
  <si>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</si>
  <si>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</si>
  <si>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</si>
  <si>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</si>
  <si>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</si>
  <si>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</si>
  <si>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</si>
  <si>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</si>
  <si>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</si>
  <si>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</si>
  <si>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</si>
  <si>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</si>
  <si>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</si>
  <si>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</si>
  <si>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</si>
  <si>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</si>
  <si>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</si>
  <si>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</si>
  <si>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</si>
  <si>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</si>
  <si>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</si>
  <si>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</si>
  <si>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</si>
  <si>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</si>
  <si>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</si>
  <si>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</si>
  <si>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</si>
  <si>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</si>
  <si>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</si>
  <si>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</si>
  <si>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</si>
  <si>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</si>
  <si>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</si>
  <si>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</si>
  <si>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</si>
  <si>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</si>
  <si>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</si>
  <si>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</si>
  <si>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</si>
  <si>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</si>
  <si>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</si>
  <si>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</si>
  <si>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</si>
  <si>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</si>
  <si>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</si>
  <si>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</si>
  <si>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</si>
  <si>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</si>
  <si>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</si>
  <si>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</si>
  <si>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</si>
  <si>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</si>
  <si>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</si>
  <si>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</si>
  <si>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</si>
  <si>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</si>
  <si>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</si>
  <si>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</si>
  <si>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</si>
  <si>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</si>
  <si>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</si>
  <si>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</si>
  <si>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</si>
  <si>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</si>
  <si>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</si>
  <si>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</si>
  <si>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</si>
  <si>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</si>
  <si>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</si>
  <si>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</si>
  <si>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</si>
  <si>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</si>
  <si>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</si>
  <si>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</si>
  <si>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</si>
  <si>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</si>
  <si>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</si>
  <si>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</si>
  <si>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</si>
  <si>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</si>
  <si>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</si>
  <si>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</si>
  <si>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</si>
  <si>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</si>
  <si>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</si>
  <si>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</si>
  <si>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</si>
  <si>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</si>
  <si>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</si>
  <si>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</si>
  <si>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</si>
  <si>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</si>
  <si>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</si>
  <si>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</si>
  <si>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</si>
  <si>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</si>
  <si>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</si>
  <si>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</si>
  <si>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</si>
  <si>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</si>
  <si>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</si>
  <si>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</si>
  <si>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</si>
  <si>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</si>
  <si>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</si>
  <si>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</si>
  <si>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</si>
  <si>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</si>
  <si>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</si>
  <si>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</si>
  <si>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</si>
  <si>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</si>
  <si>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</si>
  <si>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</si>
  <si>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</si>
  <si>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</si>
  <si>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</si>
  <si>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</si>
  <si>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</si>
  <si>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</si>
  <si>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</si>
  <si>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</si>
  <si>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</si>
  <si>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</si>
  <si>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</si>
  <si>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</si>
  <si>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</si>
  <si>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</si>
  <si>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</si>
  <si>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ABI Ltd</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</si>
  <si>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</si>
  <si>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</si>
  <si>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</si>
  <si>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</si>
  <si>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</si>
  <si>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</si>
  <si>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</si>
  <si>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</si>
  <si>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</si>
  <si>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</si>
  <si>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</si>
  <si>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</si>
  <si>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</si>
  <si>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</si>
  <si>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</si>
  <si>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</si>
  <si>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</si>
  <si>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</si>
  <si>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</si>
  <si>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</si>
  <si>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</si>
  <si>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Cambria"/>
        <family val="1"/>
        <scheme val="major"/>
      </rPr>
      <t>F/I for Swaging</t>
    </r>
  </si>
  <si>
    <r>
      <t>21RT-88030-0182-01-DD-2-</t>
    </r>
    <r>
      <rPr>
        <b/>
        <sz val="11"/>
        <color rgb="FFFF0000"/>
        <rFont val="Cambria"/>
        <family val="1"/>
        <scheme val="major"/>
      </rPr>
      <t>R/W</t>
    </r>
  </si>
  <si>
    <t>James Kearns</t>
  </si>
  <si>
    <r>
      <rPr>
        <b/>
        <sz val="12"/>
        <rFont val="Cambria"/>
        <family val="1"/>
        <scheme val="major"/>
      </rPr>
      <t>RT98</t>
    </r>
    <r>
      <rPr>
        <sz val="12"/>
        <rFont val="Cambria"/>
        <family val="1"/>
        <scheme val="major"/>
      </rPr>
      <t>-87900-PN-R002</t>
    </r>
  </si>
  <si>
    <t>Laila Parveen</t>
  </si>
  <si>
    <t>PD-20551</t>
  </si>
  <si>
    <r>
      <t xml:space="preserve">Puffer Caps &amp; Nozzles  </t>
    </r>
    <r>
      <rPr>
        <b/>
        <sz val="12"/>
        <color rgb="FFFF0000"/>
        <rFont val="Cambria"/>
        <family val="1"/>
        <scheme val="major"/>
      </rPr>
      <t>34 x 50 Mesh</t>
    </r>
  </si>
  <si>
    <t>Sanchia Bartley-Ndiaye</t>
  </si>
  <si>
    <t>RT-87550-0100-01-GA-E</t>
  </si>
  <si>
    <r>
      <t xml:space="preserve">Bellows Cutting Tool </t>
    </r>
    <r>
      <rPr>
        <b/>
        <sz val="12"/>
        <rFont val="Cambria"/>
        <family val="1"/>
        <scheme val="major"/>
      </rPr>
      <t>(SFCR)</t>
    </r>
  </si>
  <si>
    <t>RT-87900-0400-1-GA-E</t>
  </si>
  <si>
    <t>C6- Bore Gauge</t>
  </si>
  <si>
    <t>RT-87900-0500-01-GA-E</t>
  </si>
  <si>
    <t>Lot</t>
  </si>
  <si>
    <t>Spare parts</t>
  </si>
  <si>
    <t>Brandon Kwakye</t>
  </si>
  <si>
    <t>0109/25</t>
  </si>
  <si>
    <t>To Capture cost for Spare parts</t>
  </si>
  <si>
    <t>Included</t>
  </si>
  <si>
    <t>NPN</t>
  </si>
  <si>
    <t>Sanchai Bartley-Ndiaye</t>
  </si>
  <si>
    <t>02/1125</t>
  </si>
  <si>
    <t>Chris</t>
  </si>
  <si>
    <t>Auger to measure &amp; Prelim Dwgs</t>
  </si>
  <si>
    <t>NPO #</t>
  </si>
  <si>
    <t>Angelica de la Barrera</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</si>
  <si>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</si>
  <si>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</si>
  <si>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</si>
  <si>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</si>
  <si>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</si>
  <si>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</si>
  <si>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</si>
  <si>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</si>
  <si>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</si>
  <si>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</si>
  <si>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</si>
  <si>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</si>
  <si>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</si>
  <si>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</si>
  <si>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</si>
  <si>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</si>
  <si>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</si>
  <si>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</si>
  <si>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</si>
  <si>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</si>
  <si>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</si>
  <si>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</si>
  <si>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</si>
  <si>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</si>
  <si>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Cambria"/>
        <family val="1"/>
        <scheme val="major"/>
      </rPr>
      <t>RT98</t>
    </r>
    <r>
      <rPr>
        <b/>
        <sz val="11"/>
        <color rgb="FF00B0F0"/>
        <rFont val="Cambria"/>
        <family val="1"/>
        <scheme val="major"/>
      </rPr>
      <t>-</t>
    </r>
    <r>
      <rPr>
        <sz val="12"/>
        <rFont val="Cambria"/>
        <family val="1"/>
        <scheme val="major"/>
      </rPr>
      <t>88230-PN-R010</t>
    </r>
  </si>
  <si>
    <t>M</t>
  </si>
  <si>
    <r>
      <rPr>
        <b/>
        <sz val="12"/>
        <color rgb="FF0070C0"/>
        <rFont val="Cambria"/>
        <family val="1"/>
        <scheme val="major"/>
      </rPr>
      <t>RT79</t>
    </r>
    <r>
      <rPr>
        <sz val="12"/>
        <rFont val="Cambria"/>
        <family val="1"/>
        <scheme val="major"/>
      </rPr>
      <t>-87550-PN-R001</t>
    </r>
  </si>
  <si>
    <t>RT-87640-70300-000-1-GA-E</t>
  </si>
  <si>
    <t>Mockup LWTF Trolley</t>
  </si>
  <si>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</si>
  <si>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</si>
  <si>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</si>
  <si>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</si>
  <si>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</si>
  <si>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</si>
  <si>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</si>
  <si>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</si>
  <si>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</si>
  <si>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</si>
  <si>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</si>
  <si>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</si>
  <si>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</si>
  <si>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</si>
  <si>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</si>
  <si>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t>Front Left Upright</t>
  </si>
  <si>
    <t>Front Right upright</t>
  </si>
  <si>
    <t>Rear Left Upright</t>
  </si>
  <si>
    <t>Rear Right Upright</t>
  </si>
  <si>
    <t>EN-00403</t>
  </si>
  <si>
    <t>Motor Mount Sprocket</t>
  </si>
  <si>
    <t>RT-87590-70000-000-1-GA-E</t>
  </si>
  <si>
    <r>
      <t>EFSF Removal Too</t>
    </r>
    <r>
      <rPr>
        <b/>
        <sz val="10"/>
        <color rgb="FFFF0000"/>
        <rFont val="Cambria"/>
        <family val="1"/>
        <scheme val="major"/>
      </rPr>
      <t xml:space="preserve">l   </t>
    </r>
    <r>
      <rPr>
        <b/>
        <sz val="11"/>
        <color rgb="FFFF0000"/>
        <rFont val="Cambria"/>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</si>
  <si>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</si>
  <si>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</si>
  <si>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</si>
  <si>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</si>
  <si>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</si>
  <si>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</si>
  <si>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</si>
  <si>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Cambria"/>
        <family val="1"/>
        <scheme val="major"/>
      </rPr>
      <t>RT79</t>
    </r>
    <r>
      <rPr>
        <b/>
        <sz val="11"/>
        <rFont val="Cambria"/>
        <family val="1"/>
        <scheme val="major"/>
      </rPr>
      <t>-87550-PN-R001</t>
    </r>
    <r>
      <rPr>
        <b/>
        <sz val="11"/>
        <color rgb="FFFF3300"/>
        <rFont val="Cambria"/>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</si>
  <si>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</si>
  <si>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</si>
  <si>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</si>
  <si>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</si>
  <si>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</si>
  <si>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</si>
  <si>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</si>
  <si>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</si>
  <si>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Cambria"/>
        <family val="1"/>
        <scheme val="major"/>
      </rPr>
      <t>RT98</t>
    </r>
    <r>
      <rPr>
        <sz val="12"/>
        <rFont val="Cambria"/>
        <family val="1"/>
        <scheme val="major"/>
      </rPr>
      <t>-87250-PN-R007</t>
    </r>
  </si>
  <si>
    <t>1 +1</t>
  </si>
  <si>
    <t>RT-87840-70000-1000-1-GA-B</t>
  </si>
  <si>
    <t>CV FME Inspection Tool</t>
  </si>
  <si>
    <t>RT-87920-74245-048-1-DD-B</t>
  </si>
  <si>
    <t>Madhu Ragavan Mani</t>
  </si>
  <si>
    <t>Superwake</t>
  </si>
  <si>
    <t>S93501-105</t>
  </si>
  <si>
    <t>c</t>
  </si>
  <si>
    <t>Miceeal Melville</t>
  </si>
  <si>
    <t>Main Spar Mold "A"</t>
  </si>
  <si>
    <t>S93502-105</t>
  </si>
  <si>
    <t>Main Spar Mold "B"</t>
  </si>
  <si>
    <t>S92201-105</t>
  </si>
  <si>
    <t>Rear Spar Mold</t>
  </si>
  <si>
    <t>LOT $ 3692</t>
  </si>
  <si>
    <t>Verbal</t>
  </si>
  <si>
    <t>RT-88030-70120-2000-1-GA-B</t>
  </si>
  <si>
    <t>SA Transport Container</t>
  </si>
  <si>
    <t>RT-88030-70121-2000-1-GA-B</t>
  </si>
  <si>
    <t>EF Transport Container</t>
  </si>
  <si>
    <t>Sanchia Bartley-Nidaye</t>
  </si>
  <si>
    <t>C6-Bore Gauge</t>
  </si>
  <si>
    <t>C6-Bore Gague- Narrow Landing</t>
  </si>
  <si>
    <r>
      <rPr>
        <b/>
        <sz val="12"/>
        <rFont val="Cambria"/>
        <family val="1"/>
        <scheme val="major"/>
      </rPr>
      <t>RT98</t>
    </r>
    <r>
      <rPr>
        <sz val="12"/>
        <rFont val="Cambria"/>
        <family val="1"/>
        <scheme val="major"/>
      </rPr>
      <t>-87900-PN-R003</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</si>
  <si>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</si>
  <si>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</si>
  <si>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</si>
  <si>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</si>
  <si>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</si>
  <si>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</si>
  <si>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</si>
  <si>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</si>
  <si>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</si>
  <si>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</si>
  <si>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</si>
  <si>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</si>
  <si>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</si>
  <si>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</si>
  <si>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</si>
  <si>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</si>
  <si>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</si>
  <si>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</si>
  <si>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</si>
  <si>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</si>
  <si>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</si>
  <si>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Modified Air Motor Adaptor</t>
  </si>
  <si>
    <t>RT-87920-74245-000-1-GA-E</t>
  </si>
  <si>
    <t>Air Motor Stande</t>
  </si>
  <si>
    <t>RT-88000-70097-000-1-GA-E</t>
  </si>
  <si>
    <t>Air Motor Support Stand</t>
  </si>
  <si>
    <t>RT-88000-70056-000-1-GA-E</t>
  </si>
  <si>
    <t>Air Motor Support with Stabalizer</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</si>
  <si>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</si>
  <si>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</si>
  <si>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</si>
  <si>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</si>
  <si>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</si>
  <si>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</si>
  <si>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</si>
  <si>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</si>
  <si>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</si>
  <si>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</si>
  <si>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</si>
  <si>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</si>
  <si>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</si>
  <si>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</si>
  <si>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</si>
  <si>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</si>
  <si>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</si>
  <si>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</si>
  <si>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</si>
  <si>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</si>
  <si>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</si>
  <si>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</si>
  <si>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</si>
  <si>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</si>
  <si>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</si>
  <si>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</si>
  <si>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</si>
  <si>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</si>
  <si>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</si>
  <si>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</si>
  <si>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</si>
  <si>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</si>
  <si>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</si>
  <si>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</si>
  <si>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Cambria"/>
        <family val="1"/>
        <scheme val="major"/>
      </rPr>
      <t>RT79</t>
    </r>
    <r>
      <rPr>
        <sz val="12"/>
        <rFont val="Cambria"/>
        <family val="1"/>
        <scheme val="major"/>
      </rPr>
      <t>-87000-PN-R020</t>
    </r>
  </si>
  <si>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</si>
  <si>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</si>
  <si>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</si>
  <si>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</si>
  <si>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</si>
  <si>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</si>
  <si>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</si>
  <si>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</si>
  <si>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</si>
  <si>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</si>
  <si>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</si>
  <si>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</si>
  <si>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</si>
  <si>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</si>
  <si>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</si>
  <si>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</si>
  <si>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</si>
  <si>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</si>
  <si>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</si>
  <si>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</si>
  <si>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</si>
  <si>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</si>
  <si>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</si>
  <si>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</si>
  <si>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</si>
  <si>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</si>
  <si>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</si>
  <si>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</si>
  <si>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</si>
  <si>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Cambria"/>
        <family val="1"/>
        <scheme val="major"/>
      </rPr>
      <t>RT98</t>
    </r>
    <r>
      <rPr>
        <sz val="12"/>
        <rFont val="Cambria"/>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</si>
  <si>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</si>
  <si>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</si>
  <si>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</si>
  <si>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</si>
  <si>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</si>
  <si>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</si>
  <si>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</si>
  <si>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</si>
  <si>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</si>
  <si>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</si>
  <si>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</si>
  <si>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</si>
  <si>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</si>
  <si>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</si>
  <si>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</si>
  <si>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</si>
  <si>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</si>
  <si>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t>4034050-151</t>
  </si>
  <si>
    <t>LJA Pendulum Assu</t>
  </si>
  <si>
    <t>PO1021410</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</si>
  <si>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</si>
  <si>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</si>
  <si>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</si>
  <si>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</si>
  <si>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</si>
  <si>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</si>
  <si>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</si>
  <si>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</si>
  <si>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</si>
  <si>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</si>
  <si>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</si>
  <si>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</si>
  <si>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r>
      <t xml:space="preserve">Airlock Trolley </t>
    </r>
    <r>
      <rPr>
        <sz val="12"/>
        <color rgb="FFFF0000"/>
        <rFont val="Cambria"/>
        <family val="1"/>
        <scheme val="major"/>
      </rPr>
      <t>c/w Wings</t>
    </r>
  </si>
  <si>
    <t>LWTF Trolley- Corridor-NO Wing</t>
  </si>
  <si>
    <r>
      <rPr>
        <b/>
        <sz val="12"/>
        <rFont val="Cambria"/>
        <family val="1"/>
        <scheme val="major"/>
      </rPr>
      <t>RT98</t>
    </r>
    <r>
      <rPr>
        <sz val="12"/>
        <rFont val="Cambria"/>
        <family val="1"/>
        <scheme val="major"/>
      </rPr>
      <t>-87640-PN-R004</t>
    </r>
  </si>
  <si>
    <t>RT-88000-70057-020-1-GA-D</t>
  </si>
  <si>
    <t>PT Expander Mandrel Clamp</t>
  </si>
  <si>
    <r>
      <rPr>
        <b/>
        <sz val="12"/>
        <rFont val="Cambria"/>
        <family val="1"/>
        <scheme val="major"/>
      </rPr>
      <t>RT98</t>
    </r>
    <r>
      <rPr>
        <sz val="12"/>
        <rFont val="Cambria"/>
        <family val="1"/>
        <scheme val="major"/>
      </rPr>
      <t>-87920-PN-R015</t>
    </r>
  </si>
  <si>
    <t>RT-88010-0160-1-DD-C</t>
  </si>
  <si>
    <t>End Fitting E-Face Inspection Ring</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</si>
  <si>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</si>
  <si>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</si>
  <si>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</si>
  <si>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</si>
  <si>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</si>
  <si>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</si>
  <si>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</si>
  <si>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</si>
  <si>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</si>
  <si>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</si>
  <si>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Cambria"/>
        <family val="1"/>
        <scheme val="major"/>
      </rPr>
      <t>RT98</t>
    </r>
    <r>
      <rPr>
        <sz val="12"/>
        <rFont val="Cambria"/>
        <family val="1"/>
        <scheme val="major"/>
      </rPr>
      <t>-87640-PN-R005</t>
    </r>
  </si>
  <si>
    <t>RT-87600-70050-1-GA-B</t>
  </si>
  <si>
    <t>Transfer Carts for Lattice Sleeve &amp; Plugs</t>
  </si>
  <si>
    <t>RT-87910-0110-1-GA-0</t>
  </si>
  <si>
    <t>CT Storage Rack</t>
  </si>
  <si>
    <t>RT-88000-0300-000-01-GA-E</t>
  </si>
  <si>
    <t>RT-88000-70010-000-1-GA-E</t>
  </si>
  <si>
    <t>Tool E/F Lifting Beam</t>
  </si>
  <si>
    <t>RT-88000-70018-000-1-GA-E</t>
  </si>
  <si>
    <t>Tool Lifting Rig for Measuring  Bench</t>
  </si>
  <si>
    <t>RT-87290-7020-1-GA-D</t>
  </si>
  <si>
    <t>15T Spreader Beam for Fuel Channel</t>
  </si>
  <si>
    <t>5.5 Ton Heavy Worktable Spreader Beam</t>
  </si>
  <si>
    <t>RT-87290-7024-1-GA-D</t>
  </si>
  <si>
    <t>6T Spreader Beam for  EFSP Removal</t>
  </si>
  <si>
    <r>
      <rPr>
        <b/>
        <sz val="12"/>
        <rFont val="Cambria"/>
        <family val="1"/>
        <scheme val="major"/>
      </rPr>
      <t>RT98</t>
    </r>
    <r>
      <rPr>
        <sz val="12"/>
        <rFont val="Cambria"/>
        <family val="1"/>
        <scheme val="major"/>
      </rPr>
      <t>-87920-PN-R017</t>
    </r>
  </si>
  <si>
    <r>
      <t>RT98-</t>
    </r>
    <r>
      <rPr>
        <sz val="12"/>
        <rFont val="Cambria"/>
        <family val="1"/>
        <scheme val="major"/>
      </rPr>
      <t>87920-PN-R013</t>
    </r>
  </si>
  <si>
    <r>
      <t>634828-15000-52BX-R079-</t>
    </r>
    <r>
      <rPr>
        <b/>
        <sz val="8"/>
        <color rgb="FFFF0000"/>
        <rFont val="Cambria"/>
        <family val="1"/>
        <scheme val="major"/>
      </rPr>
      <t>R.07</t>
    </r>
  </si>
  <si>
    <t>S60401-101</t>
  </si>
  <si>
    <t>Travis Krebs</t>
  </si>
  <si>
    <t>Output Shaft</t>
  </si>
  <si>
    <t>RT-87840-0220-01-GA-2</t>
  </si>
  <si>
    <t>Bearing Assy</t>
  </si>
  <si>
    <t>RT-87000-0480-1-GA-D</t>
  </si>
  <si>
    <r>
      <t xml:space="preserve">634828-18000-52X-R231- </t>
    </r>
    <r>
      <rPr>
        <b/>
        <sz val="9"/>
        <color rgb="FFFF0000"/>
        <rFont val="Cambria"/>
        <family val="1"/>
        <scheme val="major"/>
      </rPr>
      <t>R.03</t>
    </r>
  </si>
  <si>
    <r>
      <rPr>
        <b/>
        <sz val="12"/>
        <rFont val="Cambria"/>
        <family val="1"/>
        <scheme val="major"/>
      </rPr>
      <t>RT98</t>
    </r>
    <r>
      <rPr>
        <sz val="12"/>
        <rFont val="Cambria"/>
        <family val="1"/>
        <scheme val="major"/>
      </rPr>
      <t>-87000-PN-R018</t>
    </r>
  </si>
  <si>
    <t>Axial Wear Ring Cut 1</t>
  </si>
  <si>
    <t>Axial Wear Ring Cut 2</t>
  </si>
  <si>
    <t>10+10</t>
  </si>
  <si>
    <t>79F-31124-0008-01-DD-C</t>
  </si>
  <si>
    <t>Olivier</t>
  </si>
  <si>
    <r>
      <t xml:space="preserve">Spacer Clips </t>
    </r>
    <r>
      <rPr>
        <b/>
        <sz val="12"/>
        <rFont val="Cambria"/>
        <family val="1"/>
        <scheme val="major"/>
      </rPr>
      <t>( Stock per Olivier)</t>
    </r>
  </si>
  <si>
    <t>01A</t>
  </si>
  <si>
    <t>PD-21099</t>
  </si>
  <si>
    <r>
      <t xml:space="preserve">Puff.Caps &amp; Nozzles </t>
    </r>
    <r>
      <rPr>
        <sz val="12"/>
        <color rgb="FFFF0000"/>
        <rFont val="Cambria"/>
        <family val="1"/>
        <scheme val="major"/>
      </rPr>
      <t>34 x 40 mesh</t>
    </r>
  </si>
  <si>
    <t>LWTF Mock-UP Trolley Frame</t>
  </si>
  <si>
    <r>
      <t>12+</t>
    </r>
    <r>
      <rPr>
        <sz val="12"/>
        <color rgb="FFFF0000"/>
        <rFont val="Cambria"/>
        <family val="1"/>
        <scheme val="major"/>
      </rPr>
      <t>2</t>
    </r>
  </si>
  <si>
    <r>
      <rPr>
        <b/>
        <sz val="9"/>
        <color rgb="FF0070C0"/>
        <rFont val="Cambria"/>
        <family val="1"/>
        <scheme val="major"/>
      </rPr>
      <t>RT79</t>
    </r>
    <r>
      <rPr>
        <b/>
        <sz val="9"/>
        <rFont val="Cambria"/>
        <family val="1"/>
        <scheme val="major"/>
      </rPr>
      <t>-88230-PN-R012-</t>
    </r>
    <r>
      <rPr>
        <b/>
        <sz val="9"/>
        <color rgb="FFFF0000"/>
        <rFont val="Cambria"/>
        <family val="1"/>
        <scheme val="major"/>
      </rPr>
      <t xml:space="preserve"> R.2</t>
    </r>
  </si>
  <si>
    <t>Speedway Packaging</t>
  </si>
  <si>
    <t>Scott Wilson</t>
  </si>
  <si>
    <t>Tony Mazza</t>
  </si>
  <si>
    <t>3A</t>
  </si>
  <si>
    <t>RT-87120-70184-003-1-DD-B</t>
  </si>
  <si>
    <r>
      <rPr>
        <b/>
        <sz val="11"/>
        <rFont val="Cambria"/>
        <family val="1"/>
        <scheme val="major"/>
      </rPr>
      <t>RT98</t>
    </r>
    <r>
      <rPr>
        <sz val="11"/>
        <rFont val="Cambria"/>
        <family val="1"/>
        <scheme val="major"/>
      </rPr>
      <t>-87640-PN-R005-</t>
    </r>
    <r>
      <rPr>
        <b/>
        <sz val="11"/>
        <color rgb="FFFF0000"/>
        <rFont val="Cambria"/>
        <family val="1"/>
        <scheme val="major"/>
      </rPr>
      <t>R1</t>
    </r>
  </si>
  <si>
    <r>
      <rPr>
        <b/>
        <sz val="12"/>
        <color rgb="FF0070C0"/>
        <rFont val="Cambria"/>
        <family val="1"/>
        <scheme val="major"/>
      </rPr>
      <t>RT79</t>
    </r>
    <r>
      <rPr>
        <sz val="12"/>
        <rFont val="Cambria"/>
        <family val="1"/>
        <scheme val="major"/>
      </rPr>
      <t>-79112-PN-R002</t>
    </r>
  </si>
  <si>
    <t>Sachin Miranda</t>
  </si>
  <si>
    <t>11A</t>
  </si>
  <si>
    <t>10A</t>
  </si>
  <si>
    <t>Lattice Sleeve Removal Tool HWT</t>
  </si>
  <si>
    <t>Dave Brydon</t>
  </si>
  <si>
    <t>Padmashri Paranjape</t>
  </si>
  <si>
    <t>Screw Feeder Coupling Cap Scerw</t>
  </si>
  <si>
    <r>
      <t xml:space="preserve">2 + </t>
    </r>
    <r>
      <rPr>
        <b/>
        <sz val="12"/>
        <color theme="9" tint="-0.249977111117893"/>
        <rFont val="Cambria"/>
        <family val="1"/>
        <scheme val="major"/>
      </rPr>
      <t>2A</t>
    </r>
  </si>
  <si>
    <t>XX-31912-959-1-GA-E</t>
  </si>
  <si>
    <t>Flask and Trolley for Garter Spring</t>
  </si>
  <si>
    <t>1+ 4</t>
  </si>
  <si>
    <t>$49,452/$ 47,452</t>
  </si>
  <si>
    <r>
      <rPr>
        <b/>
        <sz val="12"/>
        <color theme="3" tint="0.39997558519241921"/>
        <rFont val="Cambria"/>
        <family val="1"/>
        <scheme val="major"/>
      </rPr>
      <t>RT79</t>
    </r>
    <r>
      <rPr>
        <sz val="12"/>
        <rFont val="Cambria"/>
        <family val="1"/>
        <scheme val="major"/>
      </rPr>
      <t>-31912-PN-R006</t>
    </r>
  </si>
  <si>
    <t>1A</t>
  </si>
  <si>
    <t>K-565052-DET-0002</t>
  </si>
  <si>
    <t>Micheal O Brien</t>
  </si>
  <si>
    <t>Inflatale Seal Test Assy- Side Supt</t>
  </si>
  <si>
    <t>Jan-5-26</t>
  </si>
  <si>
    <t>NPO#</t>
  </si>
  <si>
    <t>1-Set</t>
  </si>
  <si>
    <t>Misc Parts</t>
  </si>
  <si>
    <t>Measure/Draw/ Make</t>
  </si>
  <si>
    <t>RT-88000-70047-000-1-GA-D</t>
  </si>
  <si>
    <t>Protective Sleeve</t>
  </si>
  <si>
    <t>AI</t>
  </si>
  <si>
    <t>Rolled &amp; Machined Insert - F/I by ATS</t>
  </si>
  <si>
    <t>83354-Rev.3</t>
  </si>
  <si>
    <t>x</t>
  </si>
  <si>
    <t>RT-88000-0300-01-GA-E</t>
  </si>
  <si>
    <t>EF Tool Rack</t>
  </si>
  <si>
    <t>RT-87600-0250-1-GA-E</t>
  </si>
  <si>
    <t>Lattice Sleeve Removal Tool</t>
  </si>
  <si>
    <t>Hemal Prajapati</t>
  </si>
  <si>
    <r>
      <rPr>
        <b/>
        <sz val="11.5"/>
        <rFont val="Cambria"/>
        <family val="1"/>
        <scheme val="major"/>
      </rPr>
      <t>RT98</t>
    </r>
    <r>
      <rPr>
        <sz val="11.5"/>
        <rFont val="Cambria"/>
        <family val="1"/>
        <scheme val="major"/>
      </rPr>
      <t>-88010-PN-R001-</t>
    </r>
    <r>
      <rPr>
        <b/>
        <sz val="11.5"/>
        <color rgb="FFFF0000"/>
        <rFont val="Cambria"/>
        <family val="1"/>
        <scheme val="major"/>
      </rPr>
      <t>R.3</t>
    </r>
  </si>
  <si>
    <r>
      <rPr>
        <b/>
        <sz val="11.5"/>
        <color theme="3" tint="0.39997558519241921"/>
        <rFont val="Cambria"/>
        <family val="1"/>
        <scheme val="major"/>
      </rPr>
      <t>RT79</t>
    </r>
    <r>
      <rPr>
        <sz val="11.5"/>
        <rFont val="Cambria"/>
        <family val="1"/>
        <scheme val="major"/>
      </rPr>
      <t>-87840-PN-R002-</t>
    </r>
    <r>
      <rPr>
        <b/>
        <sz val="11.5"/>
        <color rgb="FFFF3300"/>
        <rFont val="Cambria"/>
        <family val="1"/>
        <scheme val="major"/>
      </rPr>
      <t>R1</t>
    </r>
  </si>
  <si>
    <r>
      <rPr>
        <b/>
        <sz val="11.5"/>
        <rFont val="Cambria"/>
        <family val="1"/>
        <scheme val="major"/>
      </rPr>
      <t>RT98</t>
    </r>
    <r>
      <rPr>
        <sz val="11.5"/>
        <rFont val="Cambria"/>
        <family val="1"/>
        <scheme val="major"/>
      </rPr>
      <t>-88040-PN-R004</t>
    </r>
    <r>
      <rPr>
        <b/>
        <sz val="11.5"/>
        <rFont val="Cambria"/>
        <family val="1"/>
        <scheme val="major"/>
      </rPr>
      <t xml:space="preserve"> </t>
    </r>
    <r>
      <rPr>
        <b/>
        <sz val="11.5"/>
        <color rgb="FFFF0000"/>
        <rFont val="Cambria"/>
        <family val="1"/>
        <scheme val="major"/>
      </rPr>
      <t>R.1</t>
    </r>
  </si>
  <si>
    <r>
      <rPr>
        <b/>
        <sz val="11.5"/>
        <color theme="1"/>
        <rFont val="Cambria"/>
        <family val="1"/>
        <scheme val="major"/>
      </rPr>
      <t>RT98</t>
    </r>
    <r>
      <rPr>
        <sz val="11.5"/>
        <rFont val="Cambria"/>
        <family val="1"/>
        <scheme val="major"/>
      </rPr>
      <t>-88010-PN-R010-</t>
    </r>
    <r>
      <rPr>
        <b/>
        <sz val="11.5"/>
        <color rgb="FFFF0000"/>
        <rFont val="Cambria"/>
        <family val="1"/>
        <scheme val="major"/>
      </rPr>
      <t>R.1</t>
    </r>
  </si>
  <si>
    <r>
      <rPr>
        <b/>
        <sz val="11.5"/>
        <color rgb="FF00B0F0"/>
        <rFont val="Cambria"/>
        <family val="1"/>
        <scheme val="major"/>
      </rPr>
      <t>RT79</t>
    </r>
    <r>
      <rPr>
        <sz val="11.5"/>
        <rFont val="Cambria"/>
        <family val="1"/>
        <scheme val="major"/>
      </rPr>
      <t>-88020-PN-R003-</t>
    </r>
    <r>
      <rPr>
        <b/>
        <sz val="11.5"/>
        <color rgb="FFFF0000"/>
        <rFont val="Cambria"/>
        <family val="1"/>
        <scheme val="major"/>
      </rPr>
      <t>R.1</t>
    </r>
  </si>
  <si>
    <r>
      <rPr>
        <b/>
        <sz val="11.5"/>
        <color theme="3" tint="0.39997558519241921"/>
        <rFont val="Cambria"/>
        <family val="1"/>
        <scheme val="major"/>
      </rPr>
      <t>RT79</t>
    </r>
    <r>
      <rPr>
        <sz val="11.5"/>
        <rFont val="Cambria"/>
        <family val="1"/>
        <scheme val="major"/>
      </rPr>
      <t>-87840-PN-R002-</t>
    </r>
    <r>
      <rPr>
        <b/>
        <sz val="11.5"/>
        <color theme="9" tint="-0.249977111117893"/>
        <rFont val="Cambria"/>
        <family val="1"/>
        <scheme val="major"/>
      </rPr>
      <t>R.1</t>
    </r>
  </si>
  <si>
    <r>
      <rPr>
        <b/>
        <sz val="11.5"/>
        <color theme="3" tint="0.39997558519241921"/>
        <rFont val="Cambria"/>
        <family val="1"/>
        <scheme val="major"/>
      </rPr>
      <t>RT79</t>
    </r>
    <r>
      <rPr>
        <sz val="11.5"/>
        <rFont val="Cambria"/>
        <family val="1"/>
        <scheme val="major"/>
      </rPr>
      <t>-87630-PN-R005-</t>
    </r>
    <r>
      <rPr>
        <b/>
        <sz val="11.5"/>
        <color rgb="FFFF0000"/>
        <rFont val="Cambria"/>
        <family val="1"/>
        <scheme val="major"/>
      </rPr>
      <t>R.1</t>
    </r>
  </si>
  <si>
    <r>
      <t>RT98-87590-PN-R006-</t>
    </r>
    <r>
      <rPr>
        <b/>
        <sz val="11.5"/>
        <color rgb="FFFF0000"/>
        <rFont val="Cambria"/>
        <family val="1"/>
        <scheme val="major"/>
      </rPr>
      <t>R.1</t>
    </r>
  </si>
  <si>
    <r>
      <t>RT98-87550-PN-R004-</t>
    </r>
    <r>
      <rPr>
        <b/>
        <sz val="11"/>
        <color rgb="FFFF0000"/>
        <rFont val="Cambria"/>
        <family val="1"/>
        <scheme val="major"/>
      </rPr>
      <t>R.1</t>
    </r>
  </si>
  <si>
    <t>79RF-31170-0002-01-DD-2</t>
  </si>
  <si>
    <t>Order Item ID</t>
  </si>
  <si>
    <t>Extruder Terminal Box 60mm</t>
  </si>
  <si>
    <t>4043463-151</t>
  </si>
  <si>
    <t>Dee Lifting Fixture</t>
  </si>
  <si>
    <t>PO1024780</t>
  </si>
  <si>
    <r>
      <rPr>
        <b/>
        <sz val="11.5"/>
        <color theme="1"/>
        <rFont val="Cambria"/>
        <family val="1"/>
        <scheme val="major"/>
      </rPr>
      <t>RT98</t>
    </r>
    <r>
      <rPr>
        <sz val="11.5"/>
        <rFont val="Cambria"/>
        <family val="1"/>
        <scheme val="major"/>
      </rPr>
      <t>-87540-PN-R002-</t>
    </r>
    <r>
      <rPr>
        <b/>
        <sz val="11.5"/>
        <color rgb="FFFF0000"/>
        <rFont val="Cambria"/>
        <family val="1"/>
        <scheme val="major"/>
      </rPr>
      <t>R.2</t>
    </r>
  </si>
  <si>
    <r>
      <rPr>
        <sz val="12"/>
        <color rgb="FF0070C0"/>
        <rFont val="Cambria"/>
        <family val="1"/>
        <scheme val="major"/>
      </rPr>
      <t>RT79</t>
    </r>
    <r>
      <rPr>
        <sz val="12"/>
        <color theme="1"/>
        <rFont val="Cambria"/>
        <family val="1"/>
        <scheme val="major"/>
      </rPr>
      <t>-87640-PN-R004</t>
    </r>
  </si>
  <si>
    <t>RT-87250-0280-1-DD-C</t>
  </si>
  <si>
    <t>Fabricated Dwgs</t>
  </si>
  <si>
    <t>Hardik Vyas</t>
  </si>
  <si>
    <t>Cost for making 4 Dwgs</t>
  </si>
  <si>
    <t>1.5" Binning Cup  ( All Sizes)</t>
  </si>
  <si>
    <t>2.5" Binning Cup  ( All Sizes)</t>
  </si>
  <si>
    <t>3.0" Binnign Cup  ( All Sizes)</t>
  </si>
  <si>
    <r>
      <t>3000641938-</t>
    </r>
    <r>
      <rPr>
        <sz val="12"/>
        <color rgb="FFFF0000"/>
        <rFont val="Cambria"/>
        <family val="1"/>
        <scheme val="major"/>
      </rPr>
      <t>IT-</t>
    </r>
    <r>
      <rPr>
        <b/>
        <sz val="12"/>
        <color rgb="FFFF0000"/>
        <rFont val="Cambria"/>
        <family val="1"/>
        <scheme val="major"/>
      </rPr>
      <t>20</t>
    </r>
  </si>
  <si>
    <r>
      <t>3000641938-</t>
    </r>
    <r>
      <rPr>
        <sz val="12"/>
        <color rgb="FFFF0000"/>
        <rFont val="Cambria"/>
        <family val="1"/>
        <scheme val="major"/>
      </rPr>
      <t>IT-30</t>
    </r>
  </si>
  <si>
    <r>
      <t>3000641938-</t>
    </r>
    <r>
      <rPr>
        <sz val="12"/>
        <color rgb="FFFF0000"/>
        <rFont val="Cambria"/>
        <family val="1"/>
        <scheme val="major"/>
      </rPr>
      <t>IT-40</t>
    </r>
  </si>
  <si>
    <r>
      <t>3000641938-</t>
    </r>
    <r>
      <rPr>
        <sz val="12"/>
        <color rgb="FFFF0000"/>
        <rFont val="Cambria"/>
        <family val="1"/>
        <scheme val="major"/>
      </rPr>
      <t>IT-50</t>
    </r>
  </si>
  <si>
    <t>58967-MAPIR</t>
  </si>
  <si>
    <t>Single injector Block</t>
  </si>
  <si>
    <t>PD-21252</t>
  </si>
  <si>
    <t>2A</t>
  </si>
  <si>
    <t>C6-Bore Gauge Narrow Landing</t>
  </si>
  <si>
    <t>RT-87900-0420-1-DD-C</t>
  </si>
  <si>
    <t>Custom Probe Tips</t>
  </si>
  <si>
    <t>Peter</t>
  </si>
  <si>
    <r>
      <rPr>
        <b/>
        <sz val="11.5"/>
        <color theme="4" tint="-0.249977111117893"/>
        <rFont val="Cambria"/>
        <family val="1"/>
        <scheme val="major"/>
      </rPr>
      <t>RT79-</t>
    </r>
    <r>
      <rPr>
        <sz val="11.5"/>
        <rFont val="Cambria"/>
        <family val="1"/>
        <scheme val="major"/>
      </rPr>
      <t>87540-PN-R001-</t>
    </r>
    <r>
      <rPr>
        <b/>
        <sz val="11.5"/>
        <color rgb="FFFF0000"/>
        <rFont val="Cambria"/>
        <family val="1"/>
        <scheme val="major"/>
      </rPr>
      <t>R3</t>
    </r>
  </si>
  <si>
    <t>480V AC Power Cable 4 Cond-35ft</t>
  </si>
  <si>
    <t>03A</t>
  </si>
  <si>
    <t>RT-87910-0130-1-GA-O</t>
  </si>
  <si>
    <t>Ashna Irani- Kavasji</t>
  </si>
  <si>
    <t>Bench Measurement/cut off Bench</t>
  </si>
  <si>
    <r>
      <rPr>
        <b/>
        <sz val="12"/>
        <color rgb="FF00B0F0"/>
        <rFont val="Cambria"/>
        <family val="1"/>
        <scheme val="major"/>
      </rPr>
      <t>RT79</t>
    </r>
    <r>
      <rPr>
        <sz val="12"/>
        <rFont val="Cambria"/>
        <family val="1"/>
        <scheme val="major"/>
      </rPr>
      <t>-87910-PN-R001</t>
    </r>
  </si>
  <si>
    <r>
      <rPr>
        <b/>
        <sz val="11"/>
        <color rgb="FF00B0F0"/>
        <rFont val="Cambria"/>
        <family val="1"/>
        <scheme val="major"/>
      </rPr>
      <t>RT79</t>
    </r>
    <r>
      <rPr>
        <sz val="11"/>
        <rFont val="Cambria"/>
        <family val="1"/>
        <scheme val="major"/>
      </rPr>
      <t>-87900-PN-R003-</t>
    </r>
    <r>
      <rPr>
        <b/>
        <sz val="11"/>
        <color rgb="FFFF0000"/>
        <rFont val="Cambria"/>
        <family val="1"/>
        <scheme val="major"/>
      </rPr>
      <t>R.2</t>
    </r>
  </si>
  <si>
    <r>
      <rPr>
        <b/>
        <sz val="11"/>
        <color rgb="FF00B0F0"/>
        <rFont val="Cambria"/>
        <family val="1"/>
        <scheme val="major"/>
      </rPr>
      <t>RT79-</t>
    </r>
    <r>
      <rPr>
        <sz val="11"/>
        <rFont val="Cambria"/>
        <family val="1"/>
        <scheme val="major"/>
      </rPr>
      <t>87900-PN-R003-</t>
    </r>
    <r>
      <rPr>
        <b/>
        <sz val="11"/>
        <color rgb="FFFF0000"/>
        <rFont val="Cambria"/>
        <family val="1"/>
        <scheme val="major"/>
      </rPr>
      <t>R.2</t>
    </r>
  </si>
  <si>
    <t>RT-88000-70030-000-1-GA-C</t>
  </si>
  <si>
    <r>
      <t>EF B8 Bore Gauge-</t>
    </r>
    <r>
      <rPr>
        <b/>
        <sz val="12"/>
        <color rgb="FFFF0000"/>
        <rFont val="Cambria"/>
        <family val="1"/>
        <scheme val="major"/>
      </rPr>
      <t xml:space="preserve"> R/W</t>
    </r>
  </si>
  <si>
    <t>Kinectric</t>
  </si>
  <si>
    <t>LOT</t>
  </si>
  <si>
    <t>Samples</t>
  </si>
  <si>
    <t>Emily</t>
  </si>
  <si>
    <t>Tubesheet Mockup &amp; removed Threads</t>
  </si>
  <si>
    <t>Altrim HFH-Asy- R/w</t>
  </si>
  <si>
    <t>MAPIR- R/W</t>
  </si>
  <si>
    <r>
      <t xml:space="preserve">Altrim HFH 1.25mm </t>
    </r>
    <r>
      <rPr>
        <b/>
        <sz val="11"/>
        <color rgb="FFFF0000"/>
        <rFont val="Cambria"/>
        <family val="1"/>
        <scheme val="major"/>
      </rPr>
      <t>w/o#25-7231- Fremont</t>
    </r>
  </si>
  <si>
    <r>
      <t>Altrim HFH 1.25mm</t>
    </r>
    <r>
      <rPr>
        <b/>
        <sz val="11"/>
        <color rgb="FFFF0000"/>
        <rFont val="Cambria"/>
        <family val="1"/>
        <scheme val="major"/>
      </rPr>
      <t xml:space="preserve"> w/o#25-7243- St.Peters</t>
    </r>
  </si>
  <si>
    <r>
      <t xml:space="preserve">Altrim HFH 1.25mm </t>
    </r>
    <r>
      <rPr>
        <b/>
        <sz val="11"/>
        <color rgb="FFFF0000"/>
        <rFont val="Cambria"/>
        <family val="1"/>
        <scheme val="major"/>
      </rPr>
      <t>w/o#25-7247- St.Peters</t>
    </r>
  </si>
  <si>
    <r>
      <t xml:space="preserve">4-Piston Blk- </t>
    </r>
    <r>
      <rPr>
        <b/>
        <sz val="12"/>
        <color rgb="FFFF0000"/>
        <rFont val="Cambria"/>
        <family val="1"/>
        <scheme val="major"/>
      </rPr>
      <t>w/o 26-7337-  Huntsville</t>
    </r>
  </si>
  <si>
    <r>
      <t xml:space="preserve">NPN </t>
    </r>
    <r>
      <rPr>
        <b/>
        <sz val="12"/>
        <rFont val="Cambria"/>
        <family val="1"/>
        <scheme val="major"/>
      </rPr>
      <t>( Electrical)</t>
    </r>
    <r>
      <rPr>
        <sz val="12"/>
        <rFont val="Cambria"/>
        <family val="1"/>
        <scheme val="major"/>
      </rPr>
      <t>-</t>
    </r>
    <r>
      <rPr>
        <sz val="12"/>
        <color rgb="FFFF0000"/>
        <rFont val="Cambria"/>
        <family val="1"/>
        <scheme val="major"/>
      </rPr>
      <t>monorail</t>
    </r>
  </si>
  <si>
    <t>Feeder Mockup Seal Ring Washer</t>
  </si>
  <si>
    <t>RT-87000-72000-1006-1-DD-E</t>
  </si>
  <si>
    <t>Mock-UP Ferule- C1</t>
  </si>
  <si>
    <t>RT-87000-72000-1002-1-DD-E</t>
  </si>
  <si>
    <t>Mock-up Ferule- S1</t>
  </si>
  <si>
    <t>02A</t>
  </si>
  <si>
    <r>
      <rPr>
        <b/>
        <sz val="10"/>
        <color theme="3" tint="0.39997558519241921"/>
        <rFont val="Cambria"/>
        <family val="1"/>
        <scheme val="major"/>
      </rPr>
      <t>RT79-</t>
    </r>
    <r>
      <rPr>
        <b/>
        <sz val="10"/>
        <rFont val="Cambria"/>
        <family val="1"/>
        <scheme val="major"/>
      </rPr>
      <t>87000-PN-R020-</t>
    </r>
    <r>
      <rPr>
        <b/>
        <sz val="10"/>
        <color rgb="FFFF0000"/>
        <rFont val="Cambria"/>
        <family val="1"/>
        <scheme val="major"/>
      </rPr>
      <t>Rev1</t>
    </r>
  </si>
  <si>
    <r>
      <rPr>
        <b/>
        <sz val="10"/>
        <color theme="3" tint="0.39997558519241921"/>
        <rFont val="Cambria"/>
        <family val="1"/>
        <scheme val="major"/>
      </rPr>
      <t>RT79</t>
    </r>
    <r>
      <rPr>
        <b/>
        <sz val="10"/>
        <rFont val="Cambria"/>
        <family val="1"/>
        <scheme val="major"/>
      </rPr>
      <t>-87000-PN-R020-</t>
    </r>
    <r>
      <rPr>
        <b/>
        <sz val="10"/>
        <color rgb="FFFF0000"/>
        <rFont val="Cambria"/>
        <family val="1"/>
        <scheme val="major"/>
      </rPr>
      <t>Rev.1</t>
    </r>
  </si>
  <si>
    <r>
      <rPr>
        <b/>
        <sz val="10"/>
        <rFont val="Cambria"/>
        <family val="1"/>
        <scheme val="major"/>
      </rPr>
      <t>RT98-</t>
    </r>
    <r>
      <rPr>
        <sz val="10"/>
        <rFont val="Cambria"/>
        <family val="1"/>
        <scheme val="major"/>
      </rPr>
      <t>87000-PN-R018-</t>
    </r>
    <r>
      <rPr>
        <b/>
        <sz val="10"/>
        <color rgb="FFFF0000"/>
        <rFont val="Cambria"/>
        <family val="1"/>
        <scheme val="major"/>
      </rPr>
      <t>Rev.1</t>
    </r>
  </si>
  <si>
    <r>
      <rPr>
        <b/>
        <sz val="10"/>
        <rFont val="Cambria"/>
        <family val="1"/>
        <scheme val="major"/>
      </rPr>
      <t>RT98</t>
    </r>
    <r>
      <rPr>
        <sz val="10"/>
        <rFont val="Cambria"/>
        <family val="1"/>
        <scheme val="major"/>
      </rPr>
      <t>-87000-PN-R018-</t>
    </r>
    <r>
      <rPr>
        <b/>
        <sz val="10"/>
        <color rgb="FFFF0000"/>
        <rFont val="Cambria"/>
        <family val="1"/>
        <scheme val="major"/>
      </rPr>
      <t>Rev.1</t>
    </r>
  </si>
  <si>
    <t>James kearns</t>
  </si>
  <si>
    <t>sample</t>
  </si>
  <si>
    <r>
      <rPr>
        <b/>
        <sz val="12"/>
        <rFont val="Cambria"/>
        <family val="1"/>
        <scheme val="major"/>
      </rPr>
      <t>RT98</t>
    </r>
    <r>
      <rPr>
        <sz val="12"/>
        <rFont val="Cambria"/>
        <family val="1"/>
        <scheme val="major"/>
      </rPr>
      <t>-87590-PN-R007-</t>
    </r>
    <r>
      <rPr>
        <b/>
        <sz val="12"/>
        <color rgb="FFFF0000"/>
        <rFont val="Cambria"/>
        <family val="1"/>
        <scheme val="major"/>
      </rPr>
      <t>R1</t>
    </r>
  </si>
  <si>
    <r>
      <rPr>
        <b/>
        <sz val="11.5"/>
        <rFont val="Cambria"/>
        <family val="1"/>
        <scheme val="major"/>
      </rPr>
      <t>RT98</t>
    </r>
    <r>
      <rPr>
        <sz val="11.5"/>
        <rFont val="Cambria"/>
        <family val="1"/>
        <scheme val="major"/>
      </rPr>
      <t>-87590-PN-R007-</t>
    </r>
    <r>
      <rPr>
        <b/>
        <sz val="11.5"/>
        <color rgb="FFFF0000"/>
        <rFont val="Cambria"/>
        <family val="1"/>
        <scheme val="major"/>
      </rPr>
      <t>R1</t>
    </r>
  </si>
  <si>
    <t>MZ2X2-D-AI- R/W</t>
  </si>
  <si>
    <t>MZ4- Asy- R/W</t>
  </si>
  <si>
    <r>
      <t xml:space="preserve">MZ4 Injector r/w- </t>
    </r>
    <r>
      <rPr>
        <sz val="11"/>
        <color rgb="FFFF0000"/>
        <rFont val="Cambria"/>
        <family val="1"/>
        <scheme val="major"/>
      </rPr>
      <t>S/N 200108-2 (64245-2)</t>
    </r>
  </si>
  <si>
    <t>5 &amp; 8</t>
  </si>
  <si>
    <t>1-4, 6,7</t>
  </si>
  <si>
    <t>Danny</t>
  </si>
  <si>
    <t>Machine Leveling Bar</t>
  </si>
  <si>
    <t>RT38-16100-004-000-5000-014-01-GA-C</t>
  </si>
  <si>
    <t>Prop Rod Weldment- RH</t>
  </si>
  <si>
    <t>Prop Rod Weldment- LH</t>
  </si>
  <si>
    <t>RT38-16100-004-000-5000-011-01-GA-C</t>
  </si>
  <si>
    <t>RT-88000-0103-01-GA-C</t>
  </si>
  <si>
    <t xml:space="preserve">Split Halves </t>
  </si>
  <si>
    <t>RT-88010-0506-1-DD-C</t>
  </si>
  <si>
    <t>Push Sleeve</t>
  </si>
  <si>
    <r>
      <rPr>
        <b/>
        <sz val="12"/>
        <color theme="9" tint="-0.249977111117893"/>
        <rFont val="Cambria"/>
        <family val="1"/>
        <scheme val="major"/>
      </rPr>
      <t>RT30</t>
    </r>
    <r>
      <rPr>
        <sz val="12"/>
        <rFont val="Cambria"/>
        <family val="1"/>
        <scheme val="major"/>
      </rPr>
      <t>-16100-PN-R003</t>
    </r>
  </si>
  <si>
    <t>AB</t>
  </si>
  <si>
    <t>1 &amp; 2</t>
  </si>
  <si>
    <t>Window Cover Weldment</t>
  </si>
  <si>
    <t>3~6</t>
  </si>
  <si>
    <t>Greg Lee</t>
  </si>
  <si>
    <t>12340-0101</t>
  </si>
  <si>
    <r>
      <t xml:space="preserve">8" dia Copper Casing Assy </t>
    </r>
    <r>
      <rPr>
        <b/>
        <sz val="12"/>
        <color rgb="FFFF0000"/>
        <rFont val="Cambria"/>
        <family val="1"/>
        <scheme val="major"/>
      </rPr>
      <t>(1-set)</t>
    </r>
  </si>
  <si>
    <t>AC</t>
  </si>
  <si>
    <t>Sanket Patel</t>
  </si>
  <si>
    <t>Gauge Pipe</t>
  </si>
  <si>
    <t>CT Gripper Actuator</t>
  </si>
  <si>
    <t>93095- Rev.1</t>
  </si>
  <si>
    <t>Abhijith Lakshmanan</t>
  </si>
  <si>
    <t>Stem</t>
  </si>
  <si>
    <t>7 &amp; 8</t>
  </si>
  <si>
    <t>Vacuuming Pipe</t>
  </si>
  <si>
    <t>9 ~12</t>
  </si>
  <si>
    <t>Part for material testing</t>
  </si>
  <si>
    <t>K128412-779</t>
  </si>
  <si>
    <t>A</t>
  </si>
  <si>
    <t>John Ondrovcik</t>
  </si>
  <si>
    <t>2" Sanitary Adapter-DS</t>
  </si>
  <si>
    <t>K128412-742</t>
  </si>
  <si>
    <t>2" Sanitary Adapter-HS</t>
  </si>
  <si>
    <t>K128412-738</t>
  </si>
  <si>
    <t>Bearing Housing _ Lower</t>
  </si>
  <si>
    <t>K128412-740</t>
  </si>
  <si>
    <t>Bearing Housing Asy-MID Geared</t>
  </si>
  <si>
    <t>K128412-741</t>
  </si>
  <si>
    <t>Bearing Housing Asy- Upper</t>
  </si>
  <si>
    <t>ALP-DWG-106372</t>
  </si>
  <si>
    <t>Agitator Shaft/ Blade Assy</t>
  </si>
  <si>
    <t>K128412-743</t>
  </si>
  <si>
    <t>Input Shaft</t>
  </si>
  <si>
    <t>K128412-744</t>
  </si>
  <si>
    <t>Idler Shaft</t>
  </si>
  <si>
    <t>K128412-745</t>
  </si>
  <si>
    <t>Gear Spacer</t>
  </si>
  <si>
    <t>K128412-746</t>
  </si>
  <si>
    <t>Shim Washer</t>
  </si>
  <si>
    <t>Stationary Tubing, Weldment</t>
  </si>
  <si>
    <t>7 ~10</t>
  </si>
  <si>
    <t>Head Rotating Shaft Weldment</t>
  </si>
  <si>
    <t>11 &amp;12</t>
  </si>
  <si>
    <t>Timing Hose - Rework</t>
  </si>
  <si>
    <t>RT-87250-0401-01-GA-e</t>
  </si>
  <si>
    <t>Brg Bronze Tube 1"w x3-1/2" OD x 13"lg</t>
  </si>
  <si>
    <t>Brg Bronze 5/8"w  x 2"OD x 13"lg</t>
  </si>
  <si>
    <t>McM# 8911K397</t>
  </si>
  <si>
    <t>McM # 8911K375</t>
  </si>
  <si>
    <t>Target Board Assy-005001</t>
  </si>
  <si>
    <t>AE</t>
  </si>
  <si>
    <t>Swab Tool Tube</t>
  </si>
  <si>
    <t>93058-Rev.7</t>
  </si>
  <si>
    <r>
      <rPr>
        <sz val="10"/>
        <rFont val="Cambria"/>
        <family val="1"/>
        <scheme val="major"/>
      </rPr>
      <t xml:space="preserve">GO5318500-005-CJCT01-005 </t>
    </r>
    <r>
      <rPr>
        <b/>
        <sz val="10"/>
        <color rgb="FFFF0000"/>
        <rFont val="Cambria"/>
        <family val="1"/>
        <scheme val="major"/>
      </rPr>
      <t>(HOLD)</t>
    </r>
  </si>
  <si>
    <t>Material only</t>
  </si>
  <si>
    <r>
      <t xml:space="preserve">3-1/2 Type "L" copper Tube x </t>
    </r>
    <r>
      <rPr>
        <sz val="12"/>
        <color rgb="FFFF0000"/>
        <rFont val="Cambria"/>
        <family val="1"/>
        <scheme val="major"/>
      </rPr>
      <t>13.77lg</t>
    </r>
  </si>
  <si>
    <t>Yamini Chaudhry</t>
  </si>
  <si>
    <r>
      <rPr>
        <b/>
        <sz val="11"/>
        <color theme="3" tint="0.39997558519241921"/>
        <rFont val="Cambria"/>
        <family val="1"/>
        <scheme val="major"/>
      </rPr>
      <t>RT79</t>
    </r>
    <r>
      <rPr>
        <sz val="11"/>
        <rFont val="Cambria"/>
        <family val="1"/>
        <scheme val="major"/>
      </rPr>
      <t>-88010-PN-R018-</t>
    </r>
    <r>
      <rPr>
        <b/>
        <sz val="11"/>
        <color rgb="FFFF0000"/>
        <rFont val="Cambria"/>
        <family val="1"/>
        <scheme val="major"/>
      </rPr>
      <t>R.1</t>
    </r>
  </si>
  <si>
    <r>
      <t>93366-</t>
    </r>
    <r>
      <rPr>
        <sz val="12"/>
        <color rgb="FFFF0000"/>
        <rFont val="Cambria"/>
        <family val="1"/>
        <scheme val="major"/>
      </rPr>
      <t xml:space="preserve"> Rev.6</t>
    </r>
  </si>
  <si>
    <r>
      <t xml:space="preserve">93366- </t>
    </r>
    <r>
      <rPr>
        <sz val="12"/>
        <color rgb="FFFF0000"/>
        <rFont val="Cambria"/>
        <family val="1"/>
        <scheme val="major"/>
      </rPr>
      <t>Rev.6</t>
    </r>
  </si>
  <si>
    <r>
      <t>93090-</t>
    </r>
    <r>
      <rPr>
        <sz val="12"/>
        <color rgb="FFFF0000"/>
        <rFont val="Cambria"/>
        <family val="1"/>
        <scheme val="major"/>
      </rPr>
      <t>Rev.3</t>
    </r>
  </si>
  <si>
    <t>Guide Ram Tube , Outer</t>
  </si>
  <si>
    <t>93641- Rev.1</t>
  </si>
  <si>
    <t>Guide Ram Tube, Outer</t>
  </si>
  <si>
    <t>4 &amp; 6</t>
  </si>
  <si>
    <t>CT Gripper Adapter Plug</t>
  </si>
  <si>
    <r>
      <rPr>
        <b/>
        <sz val="12"/>
        <rFont val="Cambria"/>
        <family val="1"/>
        <scheme val="major"/>
      </rPr>
      <t>RT98</t>
    </r>
    <r>
      <rPr>
        <sz val="12"/>
        <rFont val="Cambria"/>
        <family val="1"/>
        <scheme val="major"/>
      </rPr>
      <t>-87900-PN-R002.</t>
    </r>
    <r>
      <rPr>
        <b/>
        <sz val="10"/>
        <color rgb="FFFF0000"/>
        <rFont val="Cambria"/>
        <family val="1"/>
        <scheme val="major"/>
      </rPr>
      <t>R.3</t>
    </r>
  </si>
  <si>
    <t>RT-87272-73020-004-1-DD-D</t>
  </si>
  <si>
    <t>Pulley Guard, Front Right</t>
  </si>
  <si>
    <t>RT-87272-73020-022-1-DD-D</t>
  </si>
  <si>
    <t>Pulley Guard, Front Left</t>
  </si>
  <si>
    <t>RT-87272-73020-079-1-DD-D</t>
  </si>
  <si>
    <t>Light Curtain  Support</t>
  </si>
  <si>
    <t>RT-87272-73020-060-1-DD-B</t>
  </si>
  <si>
    <t>Pulley Cover RH</t>
  </si>
  <si>
    <t>RT-87272-73020-080-2-DD-D</t>
  </si>
  <si>
    <t>Guard Front Universal</t>
  </si>
  <si>
    <t>RT-87272-73020-053-1-DD-D</t>
  </si>
  <si>
    <t>RH Front Pulley Guard</t>
  </si>
  <si>
    <t>RT-87272-73020-056-1-DD-B</t>
  </si>
  <si>
    <t>RT-87272-73020-037-1-DD-B</t>
  </si>
  <si>
    <t>Drive Block</t>
  </si>
  <si>
    <t>RT-87272-73020-036-1-DD-B</t>
  </si>
  <si>
    <t>Drive Spacer</t>
  </si>
  <si>
    <r>
      <rPr>
        <b/>
        <sz val="11"/>
        <rFont val="Cambria"/>
        <family val="1"/>
        <scheme val="major"/>
      </rPr>
      <t>RT98</t>
    </r>
    <r>
      <rPr>
        <sz val="11"/>
        <rFont val="Cambria"/>
        <family val="1"/>
        <scheme val="major"/>
      </rPr>
      <t>-87900-PN-R003-</t>
    </r>
    <r>
      <rPr>
        <b/>
        <sz val="11"/>
        <color rgb="FFFF0000"/>
        <rFont val="Cambria"/>
        <family val="1"/>
        <scheme val="major"/>
      </rPr>
      <t>R.1</t>
    </r>
  </si>
  <si>
    <r>
      <rPr>
        <b/>
        <sz val="11"/>
        <rFont val="Cambria"/>
        <family val="1"/>
        <scheme val="major"/>
      </rPr>
      <t>RT98-</t>
    </r>
    <r>
      <rPr>
        <sz val="11"/>
        <rFont val="Cambria"/>
        <family val="1"/>
        <scheme val="major"/>
      </rPr>
      <t>87900-PN-R003-</t>
    </r>
    <r>
      <rPr>
        <b/>
        <sz val="11"/>
        <color rgb="FFFF0000"/>
        <rFont val="Cambria"/>
        <family val="1"/>
        <scheme val="major"/>
      </rPr>
      <t>R.1</t>
    </r>
  </si>
  <si>
    <r>
      <rPr>
        <b/>
        <sz val="11"/>
        <rFont val="Cambria"/>
        <family val="1"/>
        <scheme val="major"/>
      </rPr>
      <t>RT98</t>
    </r>
    <r>
      <rPr>
        <sz val="11"/>
        <rFont val="Cambria"/>
        <family val="1"/>
        <scheme val="major"/>
      </rPr>
      <t xml:space="preserve">-87000-PN-R021- </t>
    </r>
    <r>
      <rPr>
        <b/>
        <sz val="11"/>
        <color rgb="FFFF0000"/>
        <rFont val="Cambria"/>
        <family val="1"/>
        <scheme val="major"/>
      </rPr>
      <t>Rev.1</t>
    </r>
  </si>
  <si>
    <r>
      <rPr>
        <b/>
        <sz val="12"/>
        <color rgb="FFCC66FF"/>
        <rFont val="Cambria"/>
        <family val="1"/>
        <scheme val="major"/>
      </rPr>
      <t>216</t>
    </r>
    <r>
      <rPr>
        <sz val="12"/>
        <rFont val="Cambria"/>
        <family val="1"/>
        <scheme val="major"/>
      </rPr>
      <t>-02123-PN-T204</t>
    </r>
  </si>
  <si>
    <t>Split Halves</t>
  </si>
  <si>
    <r>
      <rPr>
        <b/>
        <sz val="12"/>
        <rFont val="Cambria"/>
        <family val="1"/>
        <scheme val="major"/>
      </rPr>
      <t>RT98</t>
    </r>
    <r>
      <rPr>
        <sz val="12"/>
        <rFont val="Cambria"/>
        <family val="1"/>
        <scheme val="major"/>
      </rPr>
      <t>-88010-PN-R018</t>
    </r>
  </si>
  <si>
    <t>Sanket Patil</t>
  </si>
  <si>
    <t>Tool Cart Frame</t>
  </si>
  <si>
    <r>
      <rPr>
        <b/>
        <sz val="11"/>
        <color theme="9" tint="-0.249977111117893"/>
        <rFont val="Cambria"/>
        <family val="1"/>
        <scheme val="major"/>
      </rPr>
      <t>RT30</t>
    </r>
    <r>
      <rPr>
        <sz val="11"/>
        <rFont val="Cambria"/>
        <family val="1"/>
        <scheme val="major"/>
      </rPr>
      <t>-12100-PN-R002-</t>
    </r>
    <r>
      <rPr>
        <b/>
        <sz val="11"/>
        <color rgb="FFFF0000"/>
        <rFont val="Cambria"/>
        <family val="1"/>
        <scheme val="major"/>
      </rPr>
      <t>R.2</t>
    </r>
  </si>
  <si>
    <t>Keyed Sprockets repair Keyed Bores</t>
  </si>
  <si>
    <t>NPD0059-7-DET-9115</t>
  </si>
  <si>
    <t>Minyoung Shin ( Ljubo)</t>
  </si>
  <si>
    <t>Vaporizer Flange 120mm</t>
  </si>
  <si>
    <t>K-402310-09-DET-5060-007</t>
  </si>
  <si>
    <t>Kristen Ho</t>
  </si>
  <si>
    <t>Double Spher Link c/w Tether Anchor</t>
  </si>
  <si>
    <t>K-016300-04-DET-2310-004</t>
  </si>
  <si>
    <t>Threaded Tail C</t>
  </si>
  <si>
    <t>K-016300-04-DET-2110-002</t>
  </si>
  <si>
    <t>Wheel Axle</t>
  </si>
  <si>
    <r>
      <t>Kinectrics-</t>
    </r>
    <r>
      <rPr>
        <sz val="12"/>
        <color rgb="FFFF0000"/>
        <rFont val="Cambria"/>
        <family val="1"/>
        <scheme val="major"/>
      </rPr>
      <t>Kip</t>
    </r>
  </si>
  <si>
    <t>Justin LaFrance</t>
  </si>
  <si>
    <t>1~4</t>
  </si>
  <si>
    <t>Cylinder Body</t>
  </si>
  <si>
    <t>93820-Rev.1</t>
  </si>
  <si>
    <t>5~8</t>
  </si>
  <si>
    <t>Pull Piston</t>
  </si>
  <si>
    <t>Body</t>
  </si>
  <si>
    <t>93829-Rev.1</t>
  </si>
  <si>
    <t>3 &amp; 4</t>
  </si>
  <si>
    <t>Inner Shaft</t>
  </si>
  <si>
    <t>Main Body Bar Handle</t>
  </si>
  <si>
    <t>Pt Extension Body</t>
  </si>
  <si>
    <t>12-13 &amp;16-18</t>
  </si>
  <si>
    <t>93829-Rev.2</t>
  </si>
  <si>
    <t>8 &amp; 9</t>
  </si>
  <si>
    <t>10 &amp; 11</t>
  </si>
  <si>
    <t>14&amp;15</t>
  </si>
  <si>
    <r>
      <t xml:space="preserve">93716- </t>
    </r>
    <r>
      <rPr>
        <b/>
        <sz val="12"/>
        <color rgb="FFFF0000"/>
        <rFont val="Cambria"/>
        <family val="1"/>
        <scheme val="major"/>
      </rPr>
      <t>R.3</t>
    </r>
  </si>
  <si>
    <t>Gripper Pull Shaft</t>
  </si>
  <si>
    <t>93849-Rev.2</t>
  </si>
  <si>
    <t>K-016300-005-WLD-1300-400</t>
  </si>
  <si>
    <t>Kristen HO</t>
  </si>
  <si>
    <t>SS Flange Only</t>
  </si>
  <si>
    <t>Rear Guide Stop</t>
  </si>
  <si>
    <t>93959- Rev.1</t>
  </si>
  <si>
    <t>RT-87110-0150-1-GA-E</t>
  </si>
  <si>
    <r>
      <t xml:space="preserve">PT Segment Cut &amp; Measure </t>
    </r>
    <r>
      <rPr>
        <b/>
        <sz val="12"/>
        <rFont val="Cambria"/>
        <family val="1"/>
        <scheme val="major"/>
      </rPr>
      <t>F/I</t>
    </r>
  </si>
  <si>
    <t>1&amp;2</t>
  </si>
  <si>
    <t>Handle Short</t>
  </si>
  <si>
    <t>3~7</t>
  </si>
  <si>
    <t>8~12</t>
  </si>
  <si>
    <t>Handle Long</t>
  </si>
  <si>
    <t>13~14</t>
  </si>
  <si>
    <t>15~16</t>
  </si>
  <si>
    <t>Tie Plate</t>
  </si>
  <si>
    <t>17~18</t>
  </si>
  <si>
    <t>19~20</t>
  </si>
  <si>
    <t>Tommy Bar</t>
  </si>
  <si>
    <t>21~22</t>
  </si>
  <si>
    <t>NPN-1372</t>
  </si>
  <si>
    <t>AMAT Fixture Stand</t>
  </si>
  <si>
    <t>79RF-31170-0002-01-DD-C</t>
  </si>
  <si>
    <t>Maryam Shafi</t>
  </si>
  <si>
    <t>Cap Screw ( 17-4 PH )</t>
  </si>
  <si>
    <t>Sleeve Weldment</t>
  </si>
  <si>
    <r>
      <rPr>
        <b/>
        <sz val="12"/>
        <rFont val="Cambria"/>
        <family val="1"/>
        <scheme val="major"/>
      </rPr>
      <t>RT98</t>
    </r>
    <r>
      <rPr>
        <sz val="12"/>
        <rFont val="Cambria"/>
        <family val="1"/>
        <scheme val="major"/>
      </rPr>
      <t>-87000-PN-R029</t>
    </r>
  </si>
  <si>
    <t>98RF-31170-0002-01-DD-C</t>
  </si>
  <si>
    <t>98RF-31170-0017-01-DD-C</t>
  </si>
  <si>
    <r>
      <t xml:space="preserve">Feeder Coupling Cap Screw </t>
    </r>
    <r>
      <rPr>
        <b/>
        <sz val="12"/>
        <rFont val="Cambria"/>
        <family val="1"/>
        <scheme val="major"/>
      </rPr>
      <t>(Regular)</t>
    </r>
  </si>
  <si>
    <r>
      <t xml:space="preserve">Feeder Coupling Cap Screw </t>
    </r>
    <r>
      <rPr>
        <b/>
        <sz val="12"/>
        <rFont val="Cambria"/>
        <family val="1"/>
        <scheme val="major"/>
      </rPr>
      <t>(oversize)</t>
    </r>
  </si>
  <si>
    <r>
      <rPr>
        <b/>
        <sz val="12"/>
        <rFont val="Cambria"/>
        <family val="1"/>
        <scheme val="major"/>
      </rPr>
      <t>RT98</t>
    </r>
    <r>
      <rPr>
        <sz val="12"/>
        <rFont val="Cambria"/>
        <family val="1"/>
        <scheme val="major"/>
      </rPr>
      <t>-87110-PN-R007</t>
    </r>
  </si>
  <si>
    <r>
      <t>92844-</t>
    </r>
    <r>
      <rPr>
        <sz val="12"/>
        <color rgb="FFFF0000"/>
        <rFont val="Cambria"/>
        <family val="1"/>
        <scheme val="major"/>
      </rPr>
      <t>Rev.22</t>
    </r>
  </si>
  <si>
    <r>
      <t>92844-</t>
    </r>
    <r>
      <rPr>
        <sz val="12"/>
        <color rgb="FFFF0000"/>
        <rFont val="Cambria"/>
        <family val="1"/>
        <scheme val="major"/>
      </rPr>
      <t xml:space="preserve"> Rev.22</t>
    </r>
  </si>
  <si>
    <r>
      <t xml:space="preserve">CT-240-2900B/ It.1 </t>
    </r>
    <r>
      <rPr>
        <b/>
        <sz val="12"/>
        <color rgb="FFFF0000"/>
        <rFont val="Cambria"/>
        <family val="1"/>
        <scheme val="major"/>
      </rPr>
      <t>(HOLD)</t>
    </r>
  </si>
  <si>
    <r>
      <t>93129-</t>
    </r>
    <r>
      <rPr>
        <b/>
        <sz val="12"/>
        <color rgb="FFFF3300"/>
        <rFont val="Cambria"/>
        <family val="1"/>
        <scheme val="major"/>
      </rPr>
      <t xml:space="preserve"> Rev.16</t>
    </r>
  </si>
  <si>
    <r>
      <t xml:space="preserve">93129- </t>
    </r>
    <r>
      <rPr>
        <b/>
        <sz val="12"/>
        <color rgb="FFFF3300"/>
        <rFont val="Cambria"/>
        <family val="1"/>
        <scheme val="major"/>
      </rPr>
      <t>Rev.16</t>
    </r>
  </si>
  <si>
    <r>
      <t>93129-</t>
    </r>
    <r>
      <rPr>
        <sz val="12"/>
        <color rgb="FFFF3300"/>
        <rFont val="Cambria"/>
        <family val="1"/>
        <scheme val="major"/>
      </rPr>
      <t xml:space="preserve"> </t>
    </r>
    <r>
      <rPr>
        <b/>
        <sz val="12"/>
        <color rgb="FFFF3300"/>
        <rFont val="Cambria"/>
        <family val="1"/>
        <scheme val="major"/>
      </rPr>
      <t>Rev.16</t>
    </r>
  </si>
  <si>
    <t>Collapsible Handle Weldment</t>
  </si>
  <si>
    <t>94114- Rev.3</t>
  </si>
  <si>
    <t>Ann N</t>
  </si>
  <si>
    <t>NK29-DBN-35213-0144-P001</t>
  </si>
  <si>
    <t>Lisa Garey</t>
  </si>
  <si>
    <t>Key, C/T Axial input drive</t>
  </si>
  <si>
    <t>Ahmed Ibrahim</t>
  </si>
  <si>
    <t>2mm Locator pin</t>
  </si>
  <si>
    <t>B</t>
  </si>
  <si>
    <t>"O" Cavity Pin  (4140)</t>
  </si>
  <si>
    <t>2" Cavity Pin</t>
  </si>
  <si>
    <t>MS14182B-18</t>
  </si>
  <si>
    <t>Driving Nut</t>
  </si>
  <si>
    <t>Misc pce for measure &amp; Quote</t>
  </si>
  <si>
    <r>
      <rPr>
        <b/>
        <sz val="11.5"/>
        <rFont val="Cambria"/>
        <family val="1"/>
        <scheme val="major"/>
      </rPr>
      <t>RT98-</t>
    </r>
    <r>
      <rPr>
        <sz val="11.5"/>
        <rFont val="Cambria"/>
        <family val="1"/>
        <scheme val="major"/>
      </rPr>
      <t>87920-PN-R014-</t>
    </r>
    <r>
      <rPr>
        <b/>
        <sz val="11.5"/>
        <color rgb="FFFF0000"/>
        <rFont val="Cambria"/>
        <family val="1"/>
        <scheme val="major"/>
      </rPr>
      <t>R.2</t>
    </r>
  </si>
  <si>
    <t>NK38-DRAW-31935-10329-0001</t>
  </si>
  <si>
    <t>G05346020-003-GT0014</t>
  </si>
  <si>
    <t>Floor Board for Jeppesen asy</t>
  </si>
  <si>
    <t>RT-87830-0909-01-DD-C</t>
  </si>
  <si>
    <t>Out Port Sleeve</t>
  </si>
  <si>
    <r>
      <rPr>
        <b/>
        <sz val="12"/>
        <color theme="9" tint="-0.249977111117893"/>
        <rFont val="Cambria"/>
        <family val="1"/>
        <scheme val="major"/>
      </rPr>
      <t>216</t>
    </r>
    <r>
      <rPr>
        <sz val="12"/>
        <rFont val="Cambria"/>
        <family val="1"/>
        <scheme val="major"/>
      </rPr>
      <t>-02123-PN-T208</t>
    </r>
  </si>
  <si>
    <t>AD</t>
  </si>
  <si>
    <t>Honeywell</t>
  </si>
  <si>
    <t>CT30782-1</t>
  </si>
  <si>
    <t>Melissa Lara</t>
  </si>
  <si>
    <t>Random vibration Fixture</t>
  </si>
  <si>
    <t>6400485951E</t>
  </si>
  <si>
    <t>G05310000-001-PCRU01</t>
  </si>
  <si>
    <t>Passanger Door Stepping prot cover</t>
  </si>
  <si>
    <r>
      <t xml:space="preserve">Lead Shield Plate </t>
    </r>
    <r>
      <rPr>
        <b/>
        <sz val="12"/>
        <color rgb="FFFF0000"/>
        <rFont val="Cambria"/>
        <family val="1"/>
        <scheme val="major"/>
      </rPr>
      <t>F/I for Repair Tap</t>
    </r>
  </si>
  <si>
    <r>
      <t>Adj.  Injector asy -r/w</t>
    </r>
    <r>
      <rPr>
        <sz val="9"/>
        <color rgb="FFFF0000"/>
        <rFont val="Cambria"/>
        <family val="1"/>
        <scheme val="major"/>
      </rPr>
      <t xml:space="preserve"> S/N-220805-1-3,4 (68147-1-3-4)</t>
    </r>
  </si>
  <si>
    <t>GC998-0001-1-SCLD25</t>
  </si>
  <si>
    <t>Crawlway Floor Boards</t>
  </si>
  <si>
    <r>
      <t>93966-</t>
    </r>
    <r>
      <rPr>
        <b/>
        <sz val="12"/>
        <color rgb="FFFF0000"/>
        <rFont val="Cambria"/>
        <family val="1"/>
        <scheme val="major"/>
      </rPr>
      <t>Rev.10</t>
    </r>
  </si>
  <si>
    <r>
      <t xml:space="preserve">93966- </t>
    </r>
    <r>
      <rPr>
        <b/>
        <sz val="12"/>
        <color rgb="FFFF0000"/>
        <rFont val="Cambria"/>
        <family val="1"/>
        <scheme val="major"/>
      </rPr>
      <t>Rev.10</t>
    </r>
  </si>
  <si>
    <r>
      <t>RT79-87271-PN-R003-</t>
    </r>
    <r>
      <rPr>
        <b/>
        <sz val="11"/>
        <color rgb="FFFF0000"/>
        <rFont val="Cambria"/>
        <family val="1"/>
        <scheme val="major"/>
      </rPr>
      <t>Rev.1</t>
    </r>
  </si>
  <si>
    <t>3660A121</t>
  </si>
  <si>
    <t>Mani M.</t>
  </si>
  <si>
    <t>Tube, Tracking Roller</t>
  </si>
  <si>
    <t xml:space="preserve">BOM It# 38 M/C  Screw Jack </t>
  </si>
  <si>
    <t>Alumium parts for Black Anodize</t>
  </si>
  <si>
    <t>147-31912-0571-01-GA-C</t>
  </si>
  <si>
    <t>Nena Nicko</t>
  </si>
  <si>
    <t>Spacer Holder Assy</t>
  </si>
  <si>
    <t>147-31912-PN-R237</t>
  </si>
  <si>
    <r>
      <t xml:space="preserve">4140 Blocks to be </t>
    </r>
    <r>
      <rPr>
        <b/>
        <sz val="12"/>
        <color rgb="FFFF0000"/>
        <rFont val="Cambria"/>
        <family val="1"/>
        <scheme val="major"/>
      </rPr>
      <t>H/T to 45-50 RC</t>
    </r>
  </si>
  <si>
    <t>00DV277-10-.5 - F/I</t>
  </si>
  <si>
    <t>Roller 1-  F/I mat'l to cut only</t>
  </si>
  <si>
    <t>4540015402-1</t>
  </si>
  <si>
    <t>00DV277-15</t>
  </si>
  <si>
    <t>00DV277-12</t>
  </si>
  <si>
    <r>
      <rPr>
        <b/>
        <sz val="11"/>
        <color theme="9" tint="-0.249977111117893"/>
        <rFont val="Cambria"/>
        <family val="1"/>
        <scheme val="major"/>
      </rPr>
      <t>RT30-</t>
    </r>
    <r>
      <rPr>
        <sz val="11"/>
        <rFont val="Cambria"/>
        <family val="1"/>
        <scheme val="major"/>
      </rPr>
      <t>12100-PN-R002-</t>
    </r>
    <r>
      <rPr>
        <b/>
        <sz val="11"/>
        <color rgb="FFFF0000"/>
        <rFont val="Cambria"/>
        <family val="1"/>
        <scheme val="major"/>
      </rPr>
      <t>R.3</t>
    </r>
  </si>
  <si>
    <r>
      <rPr>
        <b/>
        <sz val="11"/>
        <rFont val="Cambria"/>
        <family val="1"/>
        <scheme val="major"/>
      </rPr>
      <t>RT98</t>
    </r>
    <r>
      <rPr>
        <sz val="11"/>
        <rFont val="Cambria"/>
        <family val="1"/>
        <scheme val="major"/>
      </rPr>
      <t>-87000-PN-R012-</t>
    </r>
    <r>
      <rPr>
        <sz val="11"/>
        <color rgb="FFFF0000"/>
        <rFont val="Cambria"/>
        <family val="1"/>
        <scheme val="major"/>
      </rPr>
      <t>R.1</t>
    </r>
  </si>
  <si>
    <t>NSS-BS044-31790-S-0618-0001</t>
  </si>
  <si>
    <t>Darren Chapmen</t>
  </si>
  <si>
    <t>Target Finger Tube Shielding</t>
  </si>
  <si>
    <t>Chute Long Piece</t>
  </si>
  <si>
    <t>94342- Rev.2</t>
  </si>
  <si>
    <t>4~8</t>
  </si>
  <si>
    <t>Cone With Flange</t>
  </si>
  <si>
    <r>
      <t>00BF339-6-</t>
    </r>
    <r>
      <rPr>
        <sz val="12"/>
        <color rgb="FFFF0000"/>
        <rFont val="Cambria"/>
        <family val="1"/>
        <scheme val="major"/>
      </rPr>
      <t>13.125</t>
    </r>
  </si>
  <si>
    <t>Belt Flattening Idler Pipe</t>
  </si>
  <si>
    <r>
      <t>4540015346-</t>
    </r>
    <r>
      <rPr>
        <sz val="12"/>
        <color rgb="FFFF0000"/>
        <rFont val="Cambria"/>
        <family val="1"/>
        <scheme val="major"/>
      </rPr>
      <t>1</t>
    </r>
  </si>
  <si>
    <t>2212 &amp; 951.50</t>
  </si>
  <si>
    <t>RT-88220-000001-01-GA-E</t>
  </si>
  <si>
    <t>Judy Zhang</t>
  </si>
  <si>
    <t>New Feeder Tube carts w/cradles</t>
  </si>
  <si>
    <t>RT-87250-70092-01-DD-C</t>
  </si>
  <si>
    <t>Large Clamp Block</t>
  </si>
  <si>
    <t>D</t>
  </si>
  <si>
    <r>
      <t xml:space="preserve">S7 Nozzles </t>
    </r>
    <r>
      <rPr>
        <b/>
        <sz val="12"/>
        <color rgb="FFFF0000"/>
        <rFont val="Cambria"/>
        <family val="1"/>
        <scheme val="major"/>
      </rPr>
      <t>4pc@  1.3/1.6/2.1 &amp; 2.3mm</t>
    </r>
  </si>
  <si>
    <r>
      <t>MZ2x2-D-N-</t>
    </r>
    <r>
      <rPr>
        <b/>
        <sz val="12"/>
        <color rgb="FFFF0000"/>
        <rFont val="Cambria"/>
        <family val="1"/>
        <scheme val="major"/>
      </rPr>
      <t>S7N</t>
    </r>
  </si>
  <si>
    <r>
      <rPr>
        <b/>
        <sz val="12"/>
        <color theme="9" tint="-0.249977111117893"/>
        <rFont val="Cambria"/>
        <family val="1"/>
        <scheme val="major"/>
      </rPr>
      <t>216</t>
    </r>
    <r>
      <rPr>
        <sz val="12"/>
        <rFont val="Cambria"/>
        <family val="1"/>
        <scheme val="major"/>
      </rPr>
      <t>-02123-PN-R210</t>
    </r>
  </si>
  <si>
    <r>
      <rPr>
        <b/>
        <sz val="12"/>
        <color theme="9" tint="-0.249977111117893"/>
        <rFont val="Cambria"/>
        <family val="1"/>
        <scheme val="major"/>
      </rPr>
      <t>216</t>
    </r>
    <r>
      <rPr>
        <sz val="12"/>
        <rFont val="Cambria"/>
        <family val="1"/>
        <scheme val="major"/>
      </rPr>
      <t>-02123-PN-T214</t>
    </r>
  </si>
  <si>
    <t>RT-87876-1100-1-GA-E</t>
  </si>
  <si>
    <t>Vacuuming Waste Container</t>
  </si>
  <si>
    <t>RT-87876-0400-01-GA-D</t>
  </si>
  <si>
    <t>Transfer Container Flask</t>
  </si>
  <si>
    <r>
      <rPr>
        <b/>
        <sz val="12"/>
        <color rgb="FF0070C0"/>
        <rFont val="Cambria"/>
        <family val="1"/>
        <scheme val="major"/>
      </rPr>
      <t>RT79</t>
    </r>
    <r>
      <rPr>
        <sz val="12"/>
        <rFont val="Cambria"/>
        <family val="1"/>
        <scheme val="major"/>
      </rPr>
      <t>-87876-PN-R006</t>
    </r>
  </si>
  <si>
    <r>
      <rPr>
        <b/>
        <sz val="12"/>
        <rFont val="Cambria"/>
        <family val="1"/>
        <scheme val="major"/>
      </rPr>
      <t>RT98</t>
    </r>
    <r>
      <rPr>
        <sz val="12"/>
        <rFont val="Cambria"/>
        <family val="1"/>
        <scheme val="major"/>
      </rPr>
      <t>-88200-PN-R009</t>
    </r>
  </si>
  <si>
    <t>59RF-79113-9005-1-DD-C</t>
  </si>
  <si>
    <t>59RF-79113-0043-001-DD-E</t>
  </si>
  <si>
    <r>
      <rPr>
        <b/>
        <sz val="12"/>
        <color theme="9" tint="-0.249977111117893"/>
        <rFont val="Cambria"/>
        <family val="1"/>
        <scheme val="major"/>
      </rPr>
      <t>216</t>
    </r>
    <r>
      <rPr>
        <sz val="12"/>
        <rFont val="Cambria"/>
        <family val="1"/>
        <scheme val="major"/>
      </rPr>
      <t>-02123-PN-T215</t>
    </r>
  </si>
  <si>
    <t>3 +3</t>
  </si>
  <si>
    <t>59RF-79113-9006-1-DD-C</t>
  </si>
  <si>
    <t xml:space="preserve">3 + 5 </t>
  </si>
  <si>
    <r>
      <t xml:space="preserve">Pin Handle- </t>
    </r>
    <r>
      <rPr>
        <sz val="12"/>
        <color rgb="FFFF0000"/>
        <rFont val="Cambria"/>
        <family val="1"/>
        <scheme val="major"/>
      </rPr>
      <t>B0M It 2</t>
    </r>
    <r>
      <rPr>
        <sz val="12"/>
        <rFont val="Cambria"/>
        <family val="1"/>
        <scheme val="major"/>
      </rPr>
      <t xml:space="preserve"> &amp; Pin- </t>
    </r>
    <r>
      <rPr>
        <sz val="12"/>
        <color rgb="FFFF0000"/>
        <rFont val="Cambria"/>
        <family val="1"/>
        <scheme val="major"/>
      </rPr>
      <t>BOM It# 1</t>
    </r>
  </si>
  <si>
    <r>
      <t xml:space="preserve">Handle- </t>
    </r>
    <r>
      <rPr>
        <sz val="12"/>
        <color rgb="FFFF0000"/>
        <rFont val="Cambria"/>
        <family val="1"/>
        <scheme val="major"/>
      </rPr>
      <t>BOM It# 6</t>
    </r>
  </si>
  <si>
    <r>
      <t xml:space="preserve">Handle- </t>
    </r>
    <r>
      <rPr>
        <sz val="12"/>
        <color rgb="FFFF0000"/>
        <rFont val="Cambria"/>
        <family val="1"/>
        <scheme val="major"/>
      </rPr>
      <t>BOM It# 1</t>
    </r>
  </si>
  <si>
    <t>374 +1599</t>
  </si>
  <si>
    <t>2 + 2</t>
  </si>
  <si>
    <t>59RF-79113-0052-01-DD-C</t>
  </si>
  <si>
    <t>4 + 6</t>
  </si>
  <si>
    <t>374 + 1178</t>
  </si>
  <si>
    <t>59RF-79113-9008-1-DD-C</t>
  </si>
  <si>
    <t>Pin 0.25 Dia</t>
  </si>
  <si>
    <t>59RF-79113-0046-001-DD-c</t>
  </si>
  <si>
    <t>Ann Nguyen</t>
  </si>
  <si>
    <t>Jack Balls (4340) HT to RC 40-43 threads to stay soft</t>
  </si>
  <si>
    <t>KM20260708-01</t>
  </si>
  <si>
    <t>Karl Mai</t>
  </si>
  <si>
    <t>60 Ton Hex Die 1.258" A/F</t>
  </si>
  <si>
    <t>60 Ton Round Die 1.258" Dia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</si>
</sst>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d/yy;@"/>
    <numFmt numFmtId="165" formatCode="&quot;$&quot;#,##0.00"/>
    <numFmt numFmtId="166" formatCode="[$-409]d\-mmm\-yy;@"/>
    <numFmt numFmtId="167" formatCode="[$-409]mmmm\ d\,\ yyyy;@"/>
    <numFmt numFmtId="168" formatCode="[$-409]d\-mmm\-yyyy;@"/>
    <numFmt numFmtId="169" formatCode="mm/dd/yy;@"/>
  </numFmts>
  <fonts count="107">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Calibri"/>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Cambria"/>
      <family val="1"/>
      <scheme val="major"/>
    </font>
    <font>
      <b/>
      <sz val="10"/>
      <name val="Cambria"/>
      <family val="1"/>
      <scheme val="major"/>
    </font>
    <font>
      <sz val="12"/>
      <name val="Cambria"/>
      <family val="1"/>
      <scheme val="major"/>
    </font>
    <font>
      <b/>
      <sz val="12"/>
      <name val="Cambria"/>
      <family val="1"/>
      <scheme val="major"/>
    </font>
    <font>
      <b/>
      <sz val="12"/>
      <color rgb="FFFF0000"/>
      <name val="Cambria"/>
      <family val="1"/>
      <scheme val="major"/>
    </font>
    <font>
      <b/>
      <sz val="12"/>
      <color theme="9" tint="-0.249977111117893"/>
      <name val="Cambria"/>
      <family val="1"/>
      <scheme val="major"/>
    </font>
    <font>
      <b/>
      <sz val="12"/>
      <color rgb="FF00B050"/>
      <name val="Cambria"/>
      <family val="1"/>
      <scheme val="major"/>
    </font>
    <font>
      <b/>
      <sz val="11"/>
      <color indexed="81"/>
      <name val="Vandra"/>
    </font>
    <font>
      <sz val="12"/>
      <color rgb="FFFF0000"/>
      <name val="Cambria"/>
      <family val="1"/>
      <scheme val="major"/>
    </font>
    <font>
      <b/>
      <sz val="11"/>
      <name val="Cambria"/>
      <family val="1"/>
      <scheme val="major"/>
    </font>
    <font>
      <b/>
      <sz val="12"/>
      <color rgb="FF0070C0"/>
      <name val="Cambria"/>
      <family val="1"/>
      <scheme val="major"/>
    </font>
    <font>
      <b/>
      <sz val="10"/>
      <color rgb="FFFF0000"/>
      <name val="Cambria"/>
      <family val="1"/>
      <scheme val="major"/>
    </font>
    <font>
      <b/>
      <sz val="9"/>
      <name val="Cambria"/>
      <family val="1"/>
      <scheme val="major"/>
    </font>
    <font>
      <b/>
      <sz val="10.5"/>
      <name val="Cambria"/>
      <family val="1"/>
      <scheme val="major"/>
    </font>
    <font>
      <b/>
      <sz val="9"/>
      <color rgb="FFFF0000"/>
      <name val="Cambria"/>
      <family val="1"/>
      <scheme val="major"/>
    </font>
    <font>
      <b/>
      <sz val="12"/>
      <color rgb="FF17425D"/>
      <name val="Cambria"/>
      <family val="1"/>
      <scheme val="major"/>
    </font>
    <font>
      <b/>
      <sz val="11"/>
      <color rgb="FFFF0000"/>
      <name val="Cambria"/>
      <family val="1"/>
      <scheme val="major"/>
    </font>
    <font>
      <b/>
      <sz val="8"/>
      <name val="Cambria"/>
      <family val="1"/>
      <scheme val="major"/>
    </font>
    <font>
      <b/>
      <sz val="8"/>
      <color rgb="FFFF0000"/>
      <name val="Cambria"/>
      <family val="1"/>
      <scheme val="major"/>
    </font>
    <font>
      <sz val="10"/>
      <name val="Cambria"/>
      <family val="1"/>
      <scheme val="major"/>
    </font>
    <font>
      <b/>
      <sz val="14"/>
      <color indexed="81"/>
      <name val="Vandra"/>
    </font>
    <font>
      <b/>
      <sz val="12"/>
      <color indexed="81"/>
      <name val="Vandra"/>
    </font>
    <font>
      <sz val="12"/>
      <color indexed="81"/>
      <name val="Arial"/>
      <family val="2"/>
    </font>
    <font>
      <b/>
      <sz val="12"/>
      <color theme="3" tint="0.39997558519241921"/>
      <name val="Cambria"/>
      <family val="1"/>
      <scheme val="major"/>
    </font>
    <font>
      <b/>
      <sz val="11"/>
      <color rgb="FF00B0F0"/>
      <name val="Cambria"/>
      <family val="1"/>
      <scheme val="major"/>
    </font>
    <font>
      <b/>
      <sz val="11"/>
      <color rgb="FF0070C0"/>
      <name val="Cambria"/>
      <family val="1"/>
      <scheme val="major"/>
    </font>
    <font>
      <sz val="11.5"/>
      <name val="Cambria"/>
      <family val="1"/>
      <scheme val="major"/>
    </font>
    <font>
      <b/>
      <sz val="11"/>
      <color rgb="FFFF3300"/>
      <name val="Cambria"/>
      <family val="1"/>
      <scheme val="major"/>
    </font>
    <font>
      <sz val="10"/>
      <name val="Arial"/>
      <family val="2"/>
    </font>
    <font>
      <b/>
      <sz val="12"/>
      <color rgb="FFFF3300"/>
      <name val="Cambria"/>
      <family val="1"/>
      <scheme val="major"/>
    </font>
    <font>
      <b/>
      <sz val="12"/>
      <color theme="1"/>
      <name val="Cambria"/>
      <family val="1"/>
      <scheme val="major"/>
    </font>
    <font>
      <i/>
      <sz val="9"/>
      <name val="Cambria"/>
      <family val="1"/>
      <scheme val="major"/>
    </font>
    <font>
      <sz val="12"/>
      <color theme="1"/>
      <name val="Cambria"/>
      <family val="1"/>
      <scheme val="major"/>
    </font>
    <font>
      <b/>
      <sz val="11.5"/>
      <name val="Cambria"/>
      <family val="1"/>
      <scheme val="major"/>
    </font>
    <font>
      <b/>
      <sz val="9"/>
      <color rgb="FF0070C0"/>
      <name val="Cambria"/>
      <family val="1"/>
      <scheme val="major"/>
    </font>
    <font>
      <b/>
      <i/>
      <sz val="11"/>
      <color indexed="81"/>
      <name val="Vandra"/>
    </font>
    <font>
      <b/>
      <sz val="11.5"/>
      <color theme="4" tint="-0.249977111117893"/>
      <name val="Cambria"/>
      <family val="1"/>
      <scheme val="major"/>
    </font>
    <font>
      <b/>
      <sz val="11.5"/>
      <color rgb="FFFF0000"/>
      <name val="Cambria"/>
      <family val="1"/>
      <scheme val="major"/>
    </font>
    <font>
      <b/>
      <sz val="11.5"/>
      <color theme="3" tint="0.39997558519241921"/>
      <name val="Cambria"/>
      <family val="1"/>
      <scheme val="major"/>
    </font>
    <font>
      <b/>
      <sz val="11.5"/>
      <color rgb="FFFF3300"/>
      <name val="Cambria"/>
      <family val="1"/>
      <scheme val="major"/>
    </font>
    <font>
      <b/>
      <sz val="11.5"/>
      <color theme="1"/>
      <name val="Cambria"/>
      <family val="1"/>
      <scheme val="major"/>
    </font>
    <font>
      <b/>
      <sz val="11.5"/>
      <color rgb="FF00B0F0"/>
      <name val="Cambria"/>
      <family val="1"/>
      <scheme val="major"/>
    </font>
    <font>
      <b/>
      <sz val="11.5"/>
      <color theme="9" tint="-0.249977111117893"/>
      <name val="Cambria"/>
      <family val="1"/>
      <scheme val="major"/>
    </font>
    <font>
      <sz val="9"/>
      <name val="宋体"/>
      <family val="3"/>
      <charset val="134"/>
    </font>
    <font>
      <u/>
      <sz val="10"/>
      <color theme="10"/>
      <name val="Arial"/>
      <family val="2"/>
    </font>
    <font>
      <sz val="12"/>
      <name val="Verdana"/>
      <family val="2"/>
    </font>
    <font>
      <u/>
      <sz val="12"/>
      <color theme="10"/>
      <name val="Cambria"/>
      <family val="1"/>
    </font>
    <font>
      <sz val="12"/>
      <color rgb="FF0070C0"/>
      <name val="Cambria"/>
      <family val="1"/>
      <scheme val="major"/>
    </font>
    <font>
      <b/>
      <sz val="12"/>
      <color rgb="FF00B0F0"/>
      <name val="Cambria"/>
      <family val="1"/>
      <scheme val="major"/>
    </font>
    <font>
      <b/>
      <sz val="10"/>
      <color theme="3" tint="0.39997558519241921"/>
      <name val="Cambria"/>
      <family val="1"/>
      <scheme val="major"/>
    </font>
    <font>
      <sz val="11"/>
      <color rgb="FFFF0000"/>
      <name val="Cambria"/>
      <family val="1"/>
      <scheme val="major"/>
    </font>
    <font>
      <sz val="9.5"/>
      <name val="Cambria"/>
      <family val="1"/>
      <scheme val="major"/>
    </font>
    <font>
      <b/>
      <sz val="11"/>
      <color theme="3" tint="0.39997558519241921"/>
      <name val="Cambria"/>
      <family val="1"/>
      <scheme val="major"/>
    </font>
    <font>
      <b/>
      <sz val="12"/>
      <color rgb="FFCC66FF"/>
      <name val="Cambria"/>
      <family val="1"/>
      <scheme val="major"/>
    </font>
    <font>
      <b/>
      <sz val="11"/>
      <color theme="9" tint="-0.249977111117893"/>
      <name val="Cambria"/>
      <family val="1"/>
      <scheme val="major"/>
    </font>
    <font>
      <sz val="7"/>
      <name val="Cambria"/>
      <family val="1"/>
      <scheme val="major"/>
    </font>
    <font>
      <sz val="12"/>
      <color rgb="FFFF3300"/>
      <name val="Cambria"/>
      <family val="1"/>
      <scheme val="major"/>
    </font>
    <font>
      <sz val="9"/>
      <name val="Cambria"/>
      <family val="1"/>
      <scheme val="major"/>
    </font>
    <font>
      <sz val="9"/>
      <color rgb="FFFF0000"/>
      <name val="Cambria"/>
      <family val="1"/>
      <scheme val="major"/>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FF99"/>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3" tint="0.79998168889431442"/>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44" fontId="76" fillId="0" borderId="0" applyFont="0" applyFill="0" applyBorder="0" applyAlignment="0" applyProtection="0"/>
    <xf numFmtId="0" fontId="92" fillId="0" borderId="0" applyNumberFormat="0" applyFill="0" applyBorder="0" applyAlignment="0" applyProtection="0"/>
  </cellStyleXfs>
  <cellXfs count="441">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64"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66"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64" fontId="3" fillId="2" borderId="3" xfId="0" applyNumberFormat="1" applyFont="1" applyFill="1" applyBorder="1" applyAlignment="1" applyProtection="1">
      <alignment horizontal="center" vertical="center"/>
      <protection locked="0"/>
    </xf>
    <xf numFmtId="164" fontId="7" fillId="0" borderId="0" xfId="0" applyNumberFormat="1" applyFont="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64"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0" fillId="18" borderId="0" xfId="0" applyNumberFormat="1" applyFont="1" applyFill="1" applyAlignment="1" applyProtection="1">
      <alignment horizontal="left" vertical="center"/>
      <protection locked="0"/>
    </xf>
    <xf numFmtId="49" fontId="51" fillId="18" borderId="0" xfId="0" applyNumberFormat="1" applyFont="1" applyFill="1" applyAlignment="1" applyProtection="1">
      <alignment horizontal="left" vertical="center"/>
      <protection locked="0"/>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1" fontId="50" fillId="18" borderId="1" xfId="0" applyNumberFormat="1" applyFont="1" applyFill="1" applyBorder="1" applyAlignment="1">
      <alignment horizontal="center" vertical="center"/>
    </xf>
    <xf numFmtId="1" fontId="51" fillId="18" borderId="1" xfId="0" applyNumberFormat="1" applyFont="1" applyFill="1" applyBorder="1" applyAlignment="1">
      <alignment horizontal="center" vertical="center"/>
    </xf>
    <xf numFmtId="1" fontId="50" fillId="18" borderId="0" xfId="0" applyNumberFormat="1" applyFont="1" applyFill="1" applyAlignment="1" applyProtection="1">
      <alignment horizontal="left" vertical="center"/>
      <protection locked="0"/>
    </xf>
    <xf numFmtId="164"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165" fontId="53" fillId="18" borderId="0" xfId="0" applyNumberFormat="1" applyFont="1" applyFill="1" applyAlignment="1" applyProtection="1">
      <alignment horizontal="center" vertical="center"/>
      <protection locked="0"/>
    </xf>
    <xf numFmtId="1" fontId="50" fillId="18" borderId="0" xfId="0" applyNumberFormat="1" applyFont="1" applyFill="1" applyAlignment="1" applyProtection="1">
      <alignment horizontal="center" vertical="center"/>
      <protection locked="0"/>
    </xf>
    <xf numFmtId="49" fontId="54" fillId="18" borderId="0" xfId="0" applyNumberFormat="1" applyFont="1" applyFill="1" applyAlignment="1" applyProtection="1">
      <alignment horizontal="center" vertical="center"/>
      <protection locked="0"/>
    </xf>
    <xf numFmtId="1" fontId="50" fillId="18" borderId="0" xfId="0" applyNumberFormat="1" applyFont="1" applyFill="1" applyAlignment="1">
      <alignment horizontal="center" vertical="center"/>
    </xf>
    <xf numFmtId="0" fontId="50" fillId="0" borderId="1" xfId="0" applyFont="1" applyBorder="1" applyProtection="1">
      <protection locked="0"/>
    </xf>
    <xf numFmtId="0" fontId="50" fillId="0" borderId="0" xfId="0" applyFont="1" applyProtection="1">
      <protection locked="0"/>
    </xf>
    <xf numFmtId="1" fontId="51" fillId="18" borderId="0" xfId="0" applyNumberFormat="1" applyFont="1" applyFill="1" applyAlignment="1" applyProtection="1">
      <alignment horizontal="center" vertical="center"/>
      <protection locked="0"/>
    </xf>
    <xf numFmtId="164" fontId="51" fillId="18" borderId="0" xfId="0" applyNumberFormat="1" applyFont="1" applyFill="1" applyAlignment="1" applyProtection="1">
      <alignment horizontal="center" vertical="center"/>
      <protection locked="0"/>
    </xf>
    <xf numFmtId="0" fontId="51" fillId="18" borderId="0" xfId="0" applyFont="1" applyFill="1" applyAlignment="1" applyProtection="1">
      <alignment horizontal="center" vertical="center"/>
      <protection locked="0"/>
    </xf>
    <xf numFmtId="0" fontId="51" fillId="0" borderId="36" xfId="0" applyFont="1" applyBorder="1"/>
    <xf numFmtId="0" fontId="53" fillId="0" borderId="39" xfId="0" applyFont="1" applyBorder="1" applyProtection="1">
      <protection locked="0"/>
    </xf>
    <xf numFmtId="0" fontId="51" fillId="0" borderId="0" xfId="0" applyFont="1" applyProtection="1">
      <protection locked="0"/>
    </xf>
    <xf numFmtId="0" fontId="51" fillId="0" borderId="40" xfId="0" applyFont="1" applyBorder="1" applyProtection="1">
      <protection locked="0"/>
    </xf>
    <xf numFmtId="0" fontId="51" fillId="0" borderId="36" xfId="0" applyFont="1" applyBorder="1" applyProtection="1">
      <protection locked="0"/>
    </xf>
    <xf numFmtId="0" fontId="53" fillId="0" borderId="36" xfId="0" applyFont="1" applyBorder="1" applyProtection="1">
      <protection locked="0"/>
    </xf>
    <xf numFmtId="0" fontId="53"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64"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49" fontId="54" fillId="2" borderId="3" xfId="0" applyNumberFormat="1" applyFont="1" applyFill="1" applyBorder="1" applyAlignment="1" applyProtection="1">
      <alignment horizontal="center" vertical="center"/>
      <protection locked="0"/>
    </xf>
    <xf numFmtId="1" fontId="51" fillId="2" borderId="37" xfId="0" applyNumberFormat="1" applyFont="1" applyFill="1" applyBorder="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64"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54" fillId="0" borderId="0" xfId="0" applyNumberFormat="1" applyFont="1" applyAlignment="1" applyProtection="1">
      <alignment horizontal="center" vertical="center"/>
      <protection locked="0"/>
    </xf>
    <xf numFmtId="1" fontId="50" fillId="0" borderId="0" xfId="0" applyNumberFormat="1" applyFont="1" applyAlignment="1">
      <alignment horizontal="center" vertical="center"/>
    </xf>
    <xf numFmtId="0" fontId="50" fillId="0" borderId="0" xfId="0" applyFont="1"/>
    <xf numFmtId="49" fontId="48" fillId="0" borderId="0" xfId="0" applyNumberFormat="1" applyFont="1" applyAlignment="1" applyProtection="1">
      <alignment horizontal="left" vertical="center"/>
      <protection locked="0"/>
    </xf>
    <xf numFmtId="168" fontId="50" fillId="0" borderId="0" xfId="0" applyNumberFormat="1" applyFont="1" applyAlignment="1" applyProtection="1">
      <alignment horizontal="center"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64"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64"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2" fillId="0" borderId="0" xfId="0" applyNumberFormat="1" applyFont="1" applyAlignment="1" applyProtection="1">
      <alignment horizontal="center" vertical="center"/>
      <protection locked="0"/>
    </xf>
    <xf numFmtId="49" fontId="57"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49" fontId="59" fillId="0" borderId="0" xfId="0" applyNumberFormat="1" applyFont="1" applyAlignment="1" applyProtection="1">
      <alignment horizontal="center" vertical="center"/>
      <protection locked="0"/>
    </xf>
    <xf numFmtId="1" fontId="51" fillId="19" borderId="0" xfId="0" applyNumberFormat="1" applyFont="1" applyFill="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165" fontId="51" fillId="18" borderId="0" xfId="0" applyNumberFormat="1" applyFont="1" applyFill="1" applyAlignment="1" applyProtection="1">
      <alignment horizontal="center" vertical="center"/>
      <protection locked="0"/>
    </xf>
    <xf numFmtId="165" fontId="51" fillId="2" borderId="3" xfId="0" applyNumberFormat="1" applyFont="1" applyFill="1" applyBorder="1" applyAlignment="1" applyProtection="1">
      <alignment horizontal="center" vertical="center"/>
      <protection locked="0"/>
    </xf>
    <xf numFmtId="165" fontId="50" fillId="0" borderId="0" xfId="0" applyNumberFormat="1" applyFont="1" applyAlignment="1" applyProtection="1">
      <alignment horizontal="center" vertical="center"/>
      <protection locked="0"/>
    </xf>
    <xf numFmtId="49" fontId="52" fillId="18" borderId="0" xfId="0" applyNumberFormat="1" applyFont="1" applyFill="1" applyAlignment="1" applyProtection="1">
      <alignment horizontal="center" vertical="center"/>
      <protection locked="0"/>
    </xf>
    <xf numFmtId="0" fontId="52" fillId="0" borderId="0" xfId="0" applyFont="1" applyAlignment="1" applyProtection="1">
      <alignment horizontal="center"/>
      <protection locked="0"/>
    </xf>
    <xf numFmtId="0" fontId="48" fillId="0" borderId="0" xfId="0" applyFont="1" applyAlignment="1" applyProtection="1">
      <alignment horizontal="left"/>
      <protection locked="0"/>
    </xf>
    <xf numFmtId="0" fontId="54" fillId="0" borderId="0" xfId="0" applyFont="1" applyAlignment="1" applyProtection="1">
      <alignment horizontal="center"/>
      <protection locked="0"/>
    </xf>
    <xf numFmtId="49" fontId="50" fillId="18" borderId="0" xfId="0" applyNumberFormat="1" applyFont="1" applyFill="1" applyAlignment="1" applyProtection="1">
      <alignment horizontal="center"/>
      <protection locked="0"/>
    </xf>
    <xf numFmtId="49" fontId="51" fillId="18" borderId="0" xfId="0" applyNumberFormat="1" applyFont="1" applyFill="1" applyAlignment="1" applyProtection="1">
      <alignment horizontal="center"/>
      <protection locked="0"/>
    </xf>
    <xf numFmtId="49" fontId="51" fillId="2" borderId="3" xfId="0" applyNumberFormat="1" applyFont="1" applyFill="1" applyBorder="1" applyAlignment="1" applyProtection="1">
      <alignment horizontal="center"/>
      <protection locked="0"/>
    </xf>
    <xf numFmtId="49" fontId="50" fillId="0" borderId="0" xfId="0" applyNumberFormat="1" applyFont="1" applyAlignment="1" applyProtection="1">
      <alignment horizontal="center"/>
      <protection locked="0"/>
    </xf>
    <xf numFmtId="166" fontId="50" fillId="18" borderId="0" xfId="0" applyNumberFormat="1" applyFont="1" applyFill="1" applyAlignment="1" applyProtection="1">
      <alignment horizontal="center" vertical="center"/>
      <protection locked="0"/>
    </xf>
    <xf numFmtId="166" fontId="51" fillId="18" borderId="0" xfId="0" applyNumberFormat="1" applyFont="1" applyFill="1" applyAlignment="1" applyProtection="1">
      <alignment horizontal="center" vertical="center"/>
      <protection locked="0"/>
    </xf>
    <xf numFmtId="166" fontId="51" fillId="2" borderId="3" xfId="0" applyNumberFormat="1" applyFont="1" applyFill="1" applyBorder="1" applyAlignment="1" applyProtection="1">
      <alignment horizontal="center" vertical="center"/>
      <protection locked="0"/>
    </xf>
    <xf numFmtId="166" fontId="50" fillId="0" borderId="0" xfId="0" applyNumberFormat="1" applyFont="1" applyAlignment="1" applyProtection="1">
      <alignment horizontal="center" vertical="center"/>
      <protection locked="0"/>
    </xf>
    <xf numFmtId="166" fontId="52" fillId="19" borderId="0" xfId="0" applyNumberFormat="1" applyFont="1" applyFill="1" applyAlignment="1" applyProtection="1">
      <alignment horizontal="center" vertical="center"/>
      <protection locked="0"/>
    </xf>
    <xf numFmtId="166" fontId="50" fillId="0" borderId="0" xfId="0" applyNumberFormat="1" applyFont="1" applyAlignment="1" applyProtection="1">
      <alignment horizontal="center"/>
      <protection locked="0"/>
    </xf>
    <xf numFmtId="164" fontId="50" fillId="0" borderId="0" xfId="0" applyNumberFormat="1" applyFont="1" applyAlignment="1" applyProtection="1">
      <alignment horizontal="center"/>
      <protection locked="0"/>
    </xf>
    <xf numFmtId="169" fontId="50" fillId="18" borderId="0" xfId="0" applyNumberFormat="1" applyFont="1" applyFill="1" applyAlignment="1" applyProtection="1">
      <alignment horizontal="center" vertical="center"/>
      <protection locked="0"/>
    </xf>
    <xf numFmtId="169" fontId="50" fillId="2" borderId="3" xfId="0" applyNumberFormat="1" applyFont="1" applyFill="1" applyBorder="1" applyAlignment="1" applyProtection="1">
      <alignment horizontal="center" vertical="center"/>
      <protection locked="0"/>
    </xf>
    <xf numFmtId="169" fontId="50" fillId="0" borderId="0" xfId="0" applyNumberFormat="1" applyFont="1" applyAlignment="1" applyProtection="1">
      <alignment horizontal="center" vertical="center"/>
      <protection locked="0"/>
    </xf>
    <xf numFmtId="169" fontId="50" fillId="0" borderId="0" xfId="0" applyNumberFormat="1" applyFont="1" applyAlignment="1" applyProtection="1">
      <alignment horizontal="center"/>
      <protection locked="0"/>
    </xf>
    <xf numFmtId="166" fontId="52" fillId="0" borderId="0" xfId="0" applyNumberFormat="1" applyFont="1" applyAlignment="1" applyProtection="1">
      <alignment horizontal="center"/>
      <protection locked="0"/>
    </xf>
    <xf numFmtId="0" fontId="50" fillId="18" borderId="1" xfId="0" applyFont="1" applyFill="1" applyBorder="1" applyAlignment="1" applyProtection="1">
      <alignment horizontal="center" vertical="center"/>
      <protection locked="0"/>
    </xf>
    <xf numFmtId="0" fontId="61"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0" fontId="49" fillId="0" borderId="0" xfId="0" applyFont="1" applyProtection="1">
      <protection locked="0"/>
    </xf>
    <xf numFmtId="49" fontId="63" fillId="2" borderId="3" xfId="0" applyNumberFormat="1" applyFont="1" applyFill="1" applyBorder="1" applyAlignment="1" applyProtection="1">
      <alignment horizontal="center" vertical="center"/>
      <protection locked="0"/>
    </xf>
    <xf numFmtId="0" fontId="65" fillId="0" borderId="0" xfId="0" applyFont="1" applyAlignment="1" applyProtection="1">
      <alignment horizontal="center" vertical="center"/>
      <protection locked="0"/>
    </xf>
    <xf numFmtId="0" fontId="67" fillId="0" borderId="0" xfId="0" applyFont="1" applyProtection="1">
      <protection locked="0"/>
    </xf>
    <xf numFmtId="0" fontId="48" fillId="0" borderId="0" xfId="0" applyFont="1" applyProtection="1">
      <protection locked="0"/>
    </xf>
    <xf numFmtId="0" fontId="50" fillId="14" borderId="0" xfId="0" applyFont="1" applyFill="1" applyAlignment="1" applyProtection="1">
      <alignment horizontal="center"/>
      <protection locked="0"/>
    </xf>
    <xf numFmtId="0" fontId="51" fillId="14" borderId="0" xfId="0" applyFont="1" applyFill="1" applyAlignment="1" applyProtection="1">
      <alignment horizontal="center"/>
      <protection locked="0"/>
    </xf>
    <xf numFmtId="0" fontId="50" fillId="14" borderId="0" xfId="0" applyFont="1" applyFill="1" applyProtection="1">
      <protection locked="0"/>
    </xf>
    <xf numFmtId="0" fontId="50" fillId="14" borderId="0" xfId="0" applyFont="1" applyFill="1" applyAlignment="1" applyProtection="1">
      <alignment horizontal="left"/>
      <protection locked="0"/>
    </xf>
    <xf numFmtId="164" fontId="50" fillId="14" borderId="0" xfId="0" applyNumberFormat="1" applyFont="1" applyFill="1" applyAlignment="1" applyProtection="1">
      <alignment horizontal="center"/>
      <protection locked="0"/>
    </xf>
    <xf numFmtId="0" fontId="50" fillId="14" borderId="0" xfId="0" applyFont="1" applyFill="1" applyAlignment="1" applyProtection="1">
      <alignment horizontal="center" vertical="center"/>
      <protection locked="0"/>
    </xf>
    <xf numFmtId="165" fontId="50" fillId="14" borderId="0" xfId="0" applyNumberFormat="1" applyFont="1" applyFill="1" applyAlignment="1" applyProtection="1">
      <alignment horizontal="center" vertical="center"/>
      <protection locked="0"/>
    </xf>
    <xf numFmtId="0" fontId="50" fillId="20" borderId="0" xfId="0" applyFont="1" applyFill="1" applyAlignment="1" applyProtection="1">
      <alignment horizontal="center"/>
      <protection locked="0"/>
    </xf>
    <xf numFmtId="0" fontId="51" fillId="20" borderId="0" xfId="0" applyFont="1" applyFill="1" applyAlignment="1" applyProtection="1">
      <alignment horizontal="center"/>
      <protection locked="0"/>
    </xf>
    <xf numFmtId="0" fontId="50" fillId="20" borderId="0" xfId="0" applyFont="1" applyFill="1" applyProtection="1">
      <protection locked="0"/>
    </xf>
    <xf numFmtId="164" fontId="50" fillId="20" borderId="0" xfId="0" applyNumberFormat="1" applyFont="1" applyFill="1" applyAlignment="1" applyProtection="1">
      <alignment horizontal="center"/>
      <protection locked="0"/>
    </xf>
    <xf numFmtId="0" fontId="50" fillId="20" borderId="0" xfId="0" applyFont="1" applyFill="1" applyAlignment="1" applyProtection="1">
      <alignment horizontal="center" vertical="center"/>
      <protection locked="0"/>
    </xf>
    <xf numFmtId="165" fontId="50" fillId="20" borderId="0" xfId="0" applyNumberFormat="1" applyFont="1" applyFill="1" applyAlignment="1" applyProtection="1">
      <alignment horizontal="center" vertical="center"/>
      <protection locked="0"/>
    </xf>
    <xf numFmtId="0" fontId="52" fillId="20" borderId="0" xfId="0" applyFont="1" applyFill="1" applyAlignment="1" applyProtection="1">
      <alignment horizontal="center"/>
      <protection locked="0"/>
    </xf>
    <xf numFmtId="0" fontId="54" fillId="20" borderId="0" xfId="0" applyFont="1" applyFill="1" applyAlignment="1" applyProtection="1">
      <alignment horizontal="center"/>
      <protection locked="0"/>
    </xf>
    <xf numFmtId="0" fontId="52" fillId="14" borderId="0" xfId="0" applyFont="1" applyFill="1" applyAlignment="1" applyProtection="1">
      <alignment horizontal="center"/>
      <protection locked="0"/>
    </xf>
    <xf numFmtId="0" fontId="54" fillId="14" borderId="0" xfId="0" applyFont="1" applyFill="1" applyAlignment="1" applyProtection="1">
      <alignment horizontal="center"/>
      <protection locked="0"/>
    </xf>
    <xf numFmtId="166" fontId="50" fillId="14" borderId="0" xfId="0" applyNumberFormat="1" applyFont="1" applyFill="1" applyAlignment="1" applyProtection="1">
      <alignment horizontal="center"/>
      <protection locked="0"/>
    </xf>
    <xf numFmtId="0" fontId="50" fillId="13" borderId="0" xfId="0" applyFont="1" applyFill="1" applyAlignment="1" applyProtection="1">
      <alignment horizontal="center"/>
      <protection locked="0"/>
    </xf>
    <xf numFmtId="0" fontId="51" fillId="13" borderId="0" xfId="0" applyFont="1" applyFill="1" applyAlignment="1" applyProtection="1">
      <alignment horizontal="center"/>
      <protection locked="0"/>
    </xf>
    <xf numFmtId="0" fontId="50" fillId="13" borderId="0" xfId="0" applyFont="1" applyFill="1" applyProtection="1">
      <protection locked="0"/>
    </xf>
    <xf numFmtId="0" fontId="50" fillId="13" borderId="0" xfId="0" applyFont="1" applyFill="1" applyAlignment="1" applyProtection="1">
      <alignment horizontal="left"/>
      <protection locked="0"/>
    </xf>
    <xf numFmtId="164" fontId="50" fillId="13" borderId="0" xfId="0" applyNumberFormat="1" applyFont="1" applyFill="1" applyAlignment="1" applyProtection="1">
      <alignment horizontal="center"/>
      <protection locked="0"/>
    </xf>
    <xf numFmtId="0" fontId="50" fillId="13" borderId="0" xfId="0" applyFont="1" applyFill="1" applyAlignment="1" applyProtection="1">
      <alignment horizontal="center" vertical="center"/>
      <protection locked="0"/>
    </xf>
    <xf numFmtId="165" fontId="50"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center"/>
      <protection locked="0"/>
    </xf>
    <xf numFmtId="0" fontId="54" fillId="13" borderId="0" xfId="0" applyFont="1" applyFill="1" applyAlignment="1" applyProtection="1">
      <alignment horizontal="center"/>
      <protection locked="0"/>
    </xf>
    <xf numFmtId="166" fontId="50" fillId="13" borderId="0" xfId="0" applyNumberFormat="1" applyFont="1" applyFill="1" applyAlignment="1" applyProtection="1">
      <alignment horizontal="center"/>
      <protection locked="0"/>
    </xf>
    <xf numFmtId="169" fontId="50" fillId="13" borderId="0" xfId="0" applyNumberFormat="1" applyFont="1" applyFill="1" applyAlignment="1" applyProtection="1">
      <alignment horizontal="center"/>
      <protection locked="0"/>
    </xf>
    <xf numFmtId="0" fontId="65" fillId="13" borderId="0" xfId="0" applyFont="1" applyFill="1" applyProtection="1">
      <protection locked="0"/>
    </xf>
    <xf numFmtId="0" fontId="56" fillId="0" borderId="0" xfId="0" applyFont="1" applyAlignment="1" applyProtection="1">
      <alignment horizontal="center"/>
      <protection locked="0"/>
    </xf>
    <xf numFmtId="0" fontId="50" fillId="21" borderId="0" xfId="0" applyFont="1" applyFill="1" applyAlignment="1" applyProtection="1">
      <alignment horizontal="center"/>
      <protection locked="0"/>
    </xf>
    <xf numFmtId="0" fontId="51" fillId="21" borderId="0" xfId="0" applyFont="1" applyFill="1" applyAlignment="1" applyProtection="1">
      <alignment horizontal="center"/>
      <protection locked="0"/>
    </xf>
    <xf numFmtId="0" fontId="50" fillId="21" borderId="0" xfId="0" applyFont="1" applyFill="1" applyProtection="1">
      <protection locked="0"/>
    </xf>
    <xf numFmtId="164" fontId="50" fillId="21" borderId="0" xfId="0" applyNumberFormat="1" applyFont="1" applyFill="1" applyAlignment="1" applyProtection="1">
      <alignment horizontal="center"/>
      <protection locked="0"/>
    </xf>
    <xf numFmtId="0" fontId="50" fillId="21" borderId="0" xfId="0" applyFont="1" applyFill="1" applyAlignment="1" applyProtection="1">
      <alignment horizontal="center" vertical="center"/>
      <protection locked="0"/>
    </xf>
    <xf numFmtId="165" fontId="50" fillId="21" borderId="0" xfId="0" applyNumberFormat="1" applyFont="1" applyFill="1" applyAlignment="1" applyProtection="1">
      <alignment horizontal="center" vertical="center"/>
      <protection locked="0"/>
    </xf>
    <xf numFmtId="0" fontId="57" fillId="21" borderId="0" xfId="0" applyFont="1" applyFill="1" applyAlignment="1" applyProtection="1">
      <alignment horizontal="center" vertical="center"/>
      <protection locked="0"/>
    </xf>
    <xf numFmtId="0" fontId="52" fillId="21" borderId="0" xfId="0" applyFont="1" applyFill="1" applyAlignment="1" applyProtection="1">
      <alignment horizontal="center"/>
      <protection locked="0"/>
    </xf>
    <xf numFmtId="0" fontId="54" fillId="21" borderId="0" xfId="0" applyFont="1" applyFill="1" applyAlignment="1" applyProtection="1">
      <alignment horizontal="center"/>
      <protection locked="0"/>
    </xf>
    <xf numFmtId="166" fontId="52" fillId="21" borderId="0" xfId="0" applyNumberFormat="1" applyFont="1" applyFill="1" applyAlignment="1" applyProtection="1">
      <alignment horizontal="center"/>
      <protection locked="0"/>
    </xf>
    <xf numFmtId="169" fontId="50" fillId="21" borderId="0" xfId="0" applyNumberFormat="1" applyFont="1" applyFill="1" applyAlignment="1" applyProtection="1">
      <alignment horizontal="center"/>
      <protection locked="0"/>
    </xf>
    <xf numFmtId="166" fontId="51" fillId="21" borderId="0" xfId="0" applyNumberFormat="1" applyFont="1" applyFill="1" applyAlignment="1" applyProtection="1">
      <alignment horizontal="center"/>
      <protection locked="0"/>
    </xf>
    <xf numFmtId="0" fontId="65" fillId="21" borderId="0" xfId="0" applyFont="1" applyFill="1" applyProtection="1">
      <protection locked="0"/>
    </xf>
    <xf numFmtId="0" fontId="51" fillId="22" borderId="0" xfId="0" applyFont="1" applyFill="1" applyAlignment="1" applyProtection="1">
      <alignment horizontal="center"/>
      <protection locked="0"/>
    </xf>
    <xf numFmtId="0" fontId="51" fillId="4" borderId="0" xfId="0" applyFont="1" applyFill="1" applyAlignment="1" applyProtection="1">
      <alignment horizontal="center"/>
      <protection locked="0"/>
    </xf>
    <xf numFmtId="0" fontId="57" fillId="13" borderId="0" xfId="0" applyFont="1" applyFill="1" applyProtection="1">
      <protection locked="0"/>
    </xf>
    <xf numFmtId="0" fontId="57" fillId="20" borderId="0" xfId="0" applyFont="1" applyFill="1" applyAlignment="1" applyProtection="1">
      <alignment horizontal="center" vertical="center"/>
      <protection locked="0"/>
    </xf>
    <xf numFmtId="0" fontId="50" fillId="4" borderId="0" xfId="0" applyFont="1" applyFill="1" applyAlignment="1" applyProtection="1">
      <alignment horizontal="center"/>
      <protection locked="0"/>
    </xf>
    <xf numFmtId="0" fontId="48" fillId="0" borderId="0" xfId="0" applyFont="1" applyAlignment="1" applyProtection="1">
      <alignment horizontal="center" vertical="center"/>
      <protection locked="0"/>
    </xf>
    <xf numFmtId="0" fontId="51" fillId="23" borderId="0" xfId="0" applyFont="1" applyFill="1" applyAlignment="1" applyProtection="1">
      <alignment horizontal="center"/>
      <protection locked="0"/>
    </xf>
    <xf numFmtId="166" fontId="52" fillId="13" borderId="0" xfId="0" applyNumberFormat="1" applyFont="1" applyFill="1" applyAlignment="1" applyProtection="1">
      <alignment horizontal="center"/>
      <protection locked="0"/>
    </xf>
    <xf numFmtId="0" fontId="60" fillId="0" borderId="0" xfId="0" applyFont="1" applyProtection="1">
      <protection locked="0"/>
    </xf>
    <xf numFmtId="44" fontId="50" fillId="0" borderId="0" xfId="4" applyFont="1" applyAlignment="1" applyProtection="1">
      <alignment horizontal="center" vertical="center"/>
      <protection locked="0"/>
    </xf>
    <xf numFmtId="0" fontId="51" fillId="0" borderId="0" xfId="0" applyFont="1" applyAlignment="1" applyProtection="1">
      <alignment horizontal="center" vertical="center"/>
      <protection locked="0"/>
    </xf>
    <xf numFmtId="0" fontId="64" fillId="0" borderId="0" xfId="0" applyFont="1" applyAlignment="1" applyProtection="1">
      <alignment horizontal="center"/>
      <protection locked="0"/>
    </xf>
    <xf numFmtId="0" fontId="48" fillId="14" borderId="0" xfId="0" applyFont="1" applyFill="1" applyAlignment="1" applyProtection="1">
      <alignment horizontal="center" vertical="center"/>
      <protection locked="0"/>
    </xf>
    <xf numFmtId="0" fontId="79" fillId="0" borderId="0" xfId="0" applyFont="1" applyProtection="1">
      <protection locked="0"/>
    </xf>
    <xf numFmtId="166" fontId="80" fillId="0" borderId="0" xfId="0" applyNumberFormat="1" applyFont="1" applyAlignment="1" applyProtection="1">
      <alignment horizontal="center"/>
      <protection locked="0"/>
    </xf>
    <xf numFmtId="166" fontId="56" fillId="0" borderId="0" xfId="0" applyNumberFormat="1" applyFont="1" applyAlignment="1" applyProtection="1">
      <alignment horizontal="center"/>
      <protection locked="0"/>
    </xf>
    <xf numFmtId="0" fontId="60" fillId="0" borderId="0" xfId="0" applyFont="1" applyAlignment="1" applyProtection="1">
      <alignment horizontal="center" vertical="center"/>
      <protection locked="0"/>
    </xf>
    <xf numFmtId="0" fontId="50" fillId="24" borderId="0" xfId="0" applyFont="1" applyFill="1" applyAlignment="1" applyProtection="1">
      <alignment horizontal="center"/>
      <protection locked="0"/>
    </xf>
    <xf numFmtId="0" fontId="51" fillId="24" borderId="0" xfId="0" applyFont="1" applyFill="1" applyAlignment="1" applyProtection="1">
      <alignment horizontal="center"/>
      <protection locked="0"/>
    </xf>
    <xf numFmtId="0" fontId="50" fillId="24" borderId="0" xfId="0" applyFont="1" applyFill="1" applyProtection="1">
      <protection locked="0"/>
    </xf>
    <xf numFmtId="0" fontId="74" fillId="24" borderId="0" xfId="0" applyFont="1" applyFill="1" applyAlignment="1" applyProtection="1">
      <alignment horizontal="left"/>
      <protection locked="0"/>
    </xf>
    <xf numFmtId="0" fontId="49" fillId="24" borderId="0" xfId="0" applyFont="1" applyFill="1" applyProtection="1">
      <protection locked="0"/>
    </xf>
    <xf numFmtId="164" fontId="50" fillId="24" borderId="0" xfId="0" applyNumberFormat="1" applyFont="1" applyFill="1" applyAlignment="1" applyProtection="1">
      <alignment horizontal="center"/>
      <protection locked="0"/>
    </xf>
    <xf numFmtId="0" fontId="50" fillId="24" borderId="0" xfId="0" applyFont="1" applyFill="1" applyAlignment="1" applyProtection="1">
      <alignment horizontal="center" vertical="center"/>
      <protection locked="0"/>
    </xf>
    <xf numFmtId="165" fontId="50" fillId="24" borderId="0" xfId="0" applyNumberFormat="1" applyFont="1" applyFill="1" applyAlignment="1" applyProtection="1">
      <alignment horizontal="center" vertical="center"/>
      <protection locked="0"/>
    </xf>
    <xf numFmtId="0" fontId="52" fillId="24" borderId="0" xfId="0" applyFont="1" applyFill="1" applyAlignment="1" applyProtection="1">
      <alignment horizontal="center"/>
      <protection locked="0"/>
    </xf>
    <xf numFmtId="0" fontId="54" fillId="24" borderId="0" xfId="0" applyFont="1" applyFill="1" applyAlignment="1" applyProtection="1">
      <alignment horizontal="center"/>
      <protection locked="0"/>
    </xf>
    <xf numFmtId="166" fontId="51" fillId="24" borderId="0" xfId="0" applyNumberFormat="1" applyFont="1" applyFill="1" applyAlignment="1" applyProtection="1">
      <alignment horizontal="center"/>
      <protection locked="0"/>
    </xf>
    <xf numFmtId="166" fontId="50" fillId="24" borderId="0" xfId="0" applyNumberFormat="1" applyFont="1" applyFill="1" applyAlignment="1" applyProtection="1">
      <alignment horizontal="center"/>
      <protection locked="0"/>
    </xf>
    <xf numFmtId="3" fontId="50" fillId="0" borderId="0" xfId="0" applyNumberFormat="1" applyFont="1" applyAlignment="1" applyProtection="1">
      <alignment horizontal="center"/>
      <protection locked="0"/>
    </xf>
    <xf numFmtId="0" fontId="67" fillId="20" borderId="0" xfId="0" applyFont="1" applyFill="1" applyProtection="1">
      <protection locked="0"/>
    </xf>
    <xf numFmtId="0" fontId="74" fillId="20" borderId="0" xfId="0" applyFont="1" applyFill="1" applyAlignment="1" applyProtection="1">
      <alignment horizontal="center" vertical="center"/>
      <protection locked="0"/>
    </xf>
    <xf numFmtId="0" fontId="60" fillId="21" borderId="0" xfId="0" applyFont="1" applyFill="1" applyAlignment="1" applyProtection="1">
      <alignment horizontal="center" vertical="center"/>
      <protection locked="0"/>
    </xf>
    <xf numFmtId="0" fontId="49" fillId="14" borderId="0" xfId="0" applyFont="1" applyFill="1" applyProtection="1">
      <protection locked="0"/>
    </xf>
    <xf numFmtId="0" fontId="50" fillId="23" borderId="0" xfId="0" applyFont="1" applyFill="1" applyAlignment="1" applyProtection="1">
      <alignment horizontal="center"/>
      <protection locked="0"/>
    </xf>
    <xf numFmtId="0" fontId="50" fillId="23" borderId="0" xfId="0" applyFont="1" applyFill="1" applyProtection="1">
      <protection locked="0"/>
    </xf>
    <xf numFmtId="0" fontId="49" fillId="23" borderId="0" xfId="0" applyFont="1" applyFill="1" applyProtection="1">
      <protection locked="0"/>
    </xf>
    <xf numFmtId="164" fontId="50" fillId="23" borderId="0" xfId="0" applyNumberFormat="1" applyFont="1" applyFill="1" applyAlignment="1" applyProtection="1">
      <alignment horizontal="center"/>
      <protection locked="0"/>
    </xf>
    <xf numFmtId="165" fontId="50" fillId="23" borderId="0" xfId="0" applyNumberFormat="1" applyFont="1" applyFill="1" applyAlignment="1" applyProtection="1">
      <alignment horizontal="center" vertical="center"/>
      <protection locked="0"/>
    </xf>
    <xf numFmtId="166" fontId="53" fillId="0" borderId="0" xfId="0" applyNumberFormat="1" applyFont="1" applyAlignment="1" applyProtection="1">
      <alignment horizontal="center"/>
      <protection locked="0"/>
    </xf>
    <xf numFmtId="165" fontId="57" fillId="0" borderId="0" xfId="0" applyNumberFormat="1" applyFont="1" applyAlignment="1" applyProtection="1">
      <alignment horizontal="center" vertical="center"/>
      <protection locked="0"/>
    </xf>
    <xf numFmtId="0" fontId="48" fillId="23" borderId="0" xfId="0" applyFont="1" applyFill="1" applyProtection="1">
      <protection locked="0"/>
    </xf>
    <xf numFmtId="166" fontId="52" fillId="23" borderId="0" xfId="0" applyNumberFormat="1" applyFont="1" applyFill="1" applyAlignment="1" applyProtection="1">
      <alignment horizontal="center"/>
      <protection locked="0"/>
    </xf>
    <xf numFmtId="0" fontId="74" fillId="0" borderId="0" xfId="0" applyFont="1" applyAlignment="1" applyProtection="1">
      <alignment horizontal="center" vertical="center"/>
      <protection locked="0"/>
    </xf>
    <xf numFmtId="0" fontId="81" fillId="0" borderId="0" xfId="0" applyFont="1" applyAlignment="1" applyProtection="1">
      <alignment horizontal="center" vertical="center"/>
      <protection locked="0"/>
    </xf>
    <xf numFmtId="0" fontId="74" fillId="23" borderId="0" xfId="0" applyFont="1" applyFill="1" applyAlignment="1" applyProtection="1">
      <alignment horizontal="center" vertical="center"/>
      <protection locked="0"/>
    </xf>
    <xf numFmtId="0" fontId="57" fillId="13" borderId="0" xfId="0" applyFont="1" applyFill="1" applyAlignment="1" applyProtection="1">
      <alignment horizontal="center" vertical="center"/>
      <protection locked="0"/>
    </xf>
    <xf numFmtId="1" fontId="51" fillId="2" borderId="0" xfId="0" applyNumberFormat="1" applyFont="1" applyFill="1" applyAlignment="1" applyProtection="1">
      <alignment horizontal="center" vertical="center" wrapText="1"/>
      <protection locked="0"/>
    </xf>
    <xf numFmtId="49" fontId="51" fillId="2" borderId="3" xfId="0" applyNumberFormat="1" applyFont="1" applyFill="1" applyBorder="1" applyAlignment="1" applyProtection="1">
      <alignment horizontal="center" vertical="center"/>
      <protection locked="0"/>
    </xf>
    <xf numFmtId="0" fontId="50" fillId="0" borderId="36" xfId="0" applyFont="1" applyBorder="1" applyAlignment="1" applyProtection="1">
      <alignment horizontal="center" vertical="center"/>
      <protection locked="0"/>
    </xf>
    <xf numFmtId="166" fontId="53" fillId="0" borderId="4" xfId="0" applyNumberFormat="1" applyFont="1" applyBorder="1" applyAlignment="1" applyProtection="1">
      <alignment horizontal="center" vertical="center"/>
      <protection locked="0"/>
    </xf>
    <xf numFmtId="166" fontId="51" fillId="0" borderId="0" xfId="0" applyNumberFormat="1" applyFont="1" applyAlignment="1" applyProtection="1">
      <alignment horizontal="center" vertical="center"/>
      <protection locked="0"/>
    </xf>
    <xf numFmtId="166" fontId="51" fillId="0" borderId="4" xfId="0" applyNumberFormat="1" applyFont="1" applyBorder="1" applyAlignment="1" applyProtection="1">
      <alignment horizontal="center" vertical="center"/>
      <protection locked="0"/>
    </xf>
    <xf numFmtId="15" fontId="53" fillId="0" borderId="39" xfId="0" applyNumberFormat="1" applyFont="1" applyBorder="1" applyAlignment="1" applyProtection="1">
      <alignment horizontal="center" vertical="center"/>
      <protection locked="0"/>
    </xf>
    <xf numFmtId="15" fontId="51" fillId="0" borderId="40" xfId="0" applyNumberFormat="1" applyFont="1" applyBorder="1" applyAlignment="1" applyProtection="1">
      <alignment horizontal="center" vertical="center"/>
      <protection locked="0"/>
    </xf>
    <xf numFmtId="15" fontId="51" fillId="0" borderId="36" xfId="0" applyNumberFormat="1" applyFont="1" applyBorder="1" applyAlignment="1" applyProtection="1">
      <alignment horizontal="center" vertical="center"/>
      <protection locked="0"/>
    </xf>
    <xf numFmtId="15" fontId="53" fillId="0" borderId="36" xfId="0" applyNumberFormat="1" applyFont="1" applyBorder="1" applyAlignment="1" applyProtection="1">
      <alignment horizontal="center" vertical="center"/>
      <protection locked="0"/>
    </xf>
    <xf numFmtId="15" fontId="53" fillId="0" borderId="4" xfId="0" applyNumberFormat="1" applyFont="1" applyBorder="1" applyAlignment="1" applyProtection="1">
      <alignment horizontal="center" vertical="center"/>
      <protection locked="0"/>
    </xf>
    <xf numFmtId="15" fontId="51" fillId="0" borderId="4" xfId="0" applyNumberFormat="1" applyFont="1" applyBorder="1" applyAlignment="1" applyProtection="1">
      <alignment horizontal="center" vertical="center"/>
      <protection locked="0"/>
    </xf>
    <xf numFmtId="0" fontId="50" fillId="0" borderId="4" xfId="0" applyFont="1" applyBorder="1" applyAlignment="1" applyProtection="1">
      <alignment horizontal="center" vertical="center"/>
      <protection locked="0"/>
    </xf>
    <xf numFmtId="0" fontId="50" fillId="0" borderId="1" xfId="0" applyFont="1" applyBorder="1" applyAlignment="1" applyProtection="1">
      <alignment horizontal="center"/>
      <protection locked="0"/>
    </xf>
    <xf numFmtId="0" fontId="51" fillId="0" borderId="42" xfId="0" applyFont="1" applyBorder="1" applyAlignment="1" applyProtection="1">
      <alignment horizontal="center"/>
      <protection locked="0"/>
    </xf>
    <xf numFmtId="0" fontId="94" fillId="0" borderId="0" xfId="5" applyFont="1" applyAlignment="1" applyProtection="1">
      <alignment horizontal="left"/>
      <protection locked="0"/>
    </xf>
    <xf numFmtId="0" fontId="94" fillId="24" borderId="0" xfId="5" applyFont="1" applyFill="1" applyAlignment="1" applyProtection="1">
      <alignment horizontal="left"/>
      <protection locked="0"/>
    </xf>
    <xf numFmtId="0" fontId="94" fillId="23" borderId="0" xfId="5" applyFont="1" applyFill="1" applyAlignment="1" applyProtection="1">
      <alignment horizontal="left"/>
      <protection locked="0"/>
    </xf>
    <xf numFmtId="0" fontId="94" fillId="20" borderId="0" xfId="5" applyFont="1" applyFill="1" applyAlignment="1" applyProtection="1">
      <alignment horizontal="left"/>
      <protection locked="0"/>
    </xf>
    <xf numFmtId="0" fontId="94" fillId="21" borderId="0" xfId="5" applyFont="1" applyFill="1" applyAlignment="1" applyProtection="1">
      <alignment horizontal="left"/>
      <protection locked="0"/>
    </xf>
    <xf numFmtId="0" fontId="94" fillId="13" borderId="0" xfId="5" applyFont="1" applyFill="1" applyAlignment="1" applyProtection="1">
      <alignment horizontal="left"/>
      <protection locked="0"/>
    </xf>
    <xf numFmtId="49" fontId="94" fillId="0" borderId="0" xfId="5" applyNumberFormat="1" applyFont="1" applyAlignment="1" applyProtection="1">
      <alignment horizontal="left" vertical="center"/>
      <protection locked="0"/>
    </xf>
    <xf numFmtId="1" fontId="8" fillId="0" borderId="0" xfId="1" applyNumberFormat="1" applyFont="1" applyAlignment="1" applyProtection="1">
      <alignment horizontal="left" vertical="center" wrapText="1"/>
      <protection locked="0"/>
    </xf>
    <xf numFmtId="14" fontId="8" fillId="0" borderId="0" xfId="1" applyNumberFormat="1" applyFont="1" applyAlignment="1" applyProtection="1">
      <alignment horizontal="left" vertical="center"/>
      <protection locked="0"/>
    </xf>
    <xf numFmtId="0" fontId="93" fillId="0" borderId="0" xfId="0" applyFont="1" applyAlignment="1">
      <alignment horizontal="center" vertical="center"/>
    </xf>
    <xf numFmtId="0" fontId="6" fillId="0" borderId="0" xfId="0" applyFont="1" applyAlignment="1">
      <alignment horizontal="center" vertical="center"/>
    </xf>
    <xf numFmtId="0" fontId="94" fillId="0" borderId="0" xfId="5" applyFont="1" applyFill="1" applyAlignment="1" applyProtection="1">
      <alignment horizontal="left"/>
      <protection locked="0"/>
    </xf>
    <xf numFmtId="166" fontId="77" fillId="0" borderId="0" xfId="0" applyNumberFormat="1" applyFont="1" applyAlignment="1" applyProtection="1">
      <alignment horizontal="center"/>
      <protection locked="0"/>
    </xf>
    <xf numFmtId="0" fontId="80" fillId="0" borderId="0" xfId="0" applyFont="1" applyAlignment="1" applyProtection="1">
      <alignment horizontal="center" vertical="center"/>
      <protection locked="0"/>
    </xf>
    <xf numFmtId="0" fontId="51" fillId="25" borderId="0" xfId="0" applyFont="1" applyFill="1" applyAlignment="1" applyProtection="1">
      <alignment horizontal="center"/>
      <protection locked="0"/>
    </xf>
    <xf numFmtId="0" fontId="50" fillId="26" borderId="0" xfId="0" applyFont="1" applyFill="1" applyAlignment="1" applyProtection="1">
      <alignment horizontal="center"/>
      <protection locked="0"/>
    </xf>
    <xf numFmtId="0" fontId="50" fillId="26" borderId="0" xfId="0" applyFont="1" applyFill="1" applyProtection="1">
      <protection locked="0"/>
    </xf>
    <xf numFmtId="0" fontId="51" fillId="13" borderId="0" xfId="0" applyFont="1" applyFill="1" applyAlignment="1" applyProtection="1">
      <alignment horizontal="center" vertical="center"/>
      <protection locked="0"/>
    </xf>
    <xf numFmtId="0" fontId="67" fillId="0" borderId="0" xfId="0" applyFont="1" applyAlignment="1" applyProtection="1">
      <alignment horizontal="center" vertical="center"/>
      <protection locked="0"/>
    </xf>
    <xf numFmtId="0" fontId="99" fillId="0" borderId="0" xfId="0" applyFont="1" applyAlignment="1" applyProtection="1">
      <alignment horizontal="left"/>
      <protection locked="0"/>
    </xf>
    <xf numFmtId="0" fontId="51" fillId="27" borderId="0" xfId="0" applyFont="1" applyFill="1" applyAlignment="1" applyProtection="1">
      <alignment horizontal="center"/>
      <protection locked="0"/>
    </xf>
    <xf numFmtId="16" fontId="50" fillId="0" borderId="0" xfId="0" applyNumberFormat="1" applyFont="1" applyAlignment="1" applyProtection="1">
      <alignment horizontal="center" vertical="center"/>
      <protection locked="0"/>
    </xf>
    <xf numFmtId="0" fontId="67" fillId="0" borderId="0" xfId="0" applyFont="1" applyAlignment="1" applyProtection="1">
      <alignment horizontal="left"/>
      <protection locked="0"/>
    </xf>
    <xf numFmtId="0" fontId="51" fillId="0" borderId="0" xfId="0" applyFont="1" applyAlignment="1" applyProtection="1">
      <alignment horizontal="left"/>
      <protection locked="0"/>
    </xf>
    <xf numFmtId="0" fontId="103" fillId="0" borderId="0" xfId="0" applyFont="1" applyAlignment="1" applyProtection="1">
      <alignment horizontal="center" vertical="center"/>
      <protection locked="0"/>
    </xf>
    <xf numFmtId="0" fontId="77" fillId="0" borderId="0" xfId="0" applyFont="1" applyAlignment="1" applyProtection="1">
      <alignment horizontal="center"/>
      <protection locked="0"/>
    </xf>
    <xf numFmtId="49" fontId="34" fillId="0" borderId="0" xfId="1" applyNumberFormat="1" applyFont="1" applyAlignment="1" applyProtection="1">
      <alignment horizontal="left"/>
      <protection locked="0"/>
    </xf>
    <xf numFmtId="0" fontId="105" fillId="0" borderId="0" xfId="0" applyFont="1" applyProtection="1">
      <protection locked="0"/>
    </xf>
    <xf numFmtId="0" fontId="51" fillId="28" borderId="0" xfId="0" applyFont="1" applyFill="1" applyAlignment="1" applyProtection="1">
      <alignment horizontal="center"/>
      <protection locked="0"/>
    </xf>
    <xf numFmtId="0" fontId="9" fillId="0" borderId="14" xfId="1" applyFont="1" applyBorder="1"/>
    <xf numFmtId="0" fontId="9" fillId="0" borderId="15" xfId="1" applyFont="1" applyBorder="1"/>
    <xf numFmtId="0" fontId="9" fillId="0" borderId="16" xfId="1" applyFont="1" applyBorder="1"/>
    <xf numFmtId="0" fontId="9" fillId="0" borderId="24" xfId="1" applyFont="1" applyBorder="1"/>
    <xf numFmtId="0" fontId="9" fillId="0" borderId="17" xfId="1" applyFont="1" applyBorder="1"/>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34" fillId="0" borderId="30"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166" fontId="9" fillId="0" borderId="19" xfId="1" applyNumberFormat="1" applyFont="1" applyBorder="1" applyAlignment="1">
      <alignment horizontal="left"/>
    </xf>
    <xf numFmtId="166" fontId="9" fillId="0" borderId="20" xfId="1" applyNumberFormat="1" applyFont="1" applyBorder="1" applyAlignment="1">
      <alignment horizontal="left"/>
    </xf>
    <xf numFmtId="0" fontId="39" fillId="0" borderId="19" xfId="1" applyFont="1" applyBorder="1" applyAlignment="1">
      <alignment horizontal="left"/>
    </xf>
    <xf numFmtId="167" fontId="19" fillId="0" borderId="19" xfId="1" applyNumberFormat="1" applyFont="1" applyBorder="1" applyAlignment="1">
      <alignment horizontal="center"/>
    </xf>
    <xf numFmtId="167"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35" fillId="0" borderId="19" xfId="1" applyFont="1" applyBorder="1" applyAlignment="1">
      <alignment horizontal="left"/>
    </xf>
    <xf numFmtId="0" fontId="38" fillId="0" borderId="19" xfId="1" applyFont="1" applyBorder="1" applyAlignment="1">
      <alignment horizontal="left"/>
    </xf>
  </cellXfs>
  <cellStyles count="6">
    <cellStyle name="Bad" xfId="3" builtinId="27"/>
    <cellStyle name="Currency" xfId="4" builtinId="4"/>
    <cellStyle name="Hyperlink" xfId="5" builtinId="8"/>
    <cellStyle name="Hyperlink 2" xfId="2" xr:uid="{00000000-0005-0000-0000-000002000000}"/>
    <cellStyle name="Normal" xfId="0" builtinId="0"/>
    <cellStyle name="Normal 2" xfId="1" xr:uid="{00000000-0005-0000-0000-000004000000}"/>
  </cellStyles>
  <dxfs count="945">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3300"/>
      <color rgb="FFCC66FF"/>
      <color rgb="FFFFFFFF"/>
      <color rgb="FFFFCCCC"/>
      <color rgb="FFCCFF99"/>
      <color rgb="FF66FF66"/>
      <color rgb="FFDDDDDD"/>
      <color rgb="FFC0C0C0"/>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14</xdr:col>
      <xdr:colOff>520432</xdr:colOff>
      <xdr:row>0</xdr:row>
      <xdr:rowOff>98508</xdr:rowOff>
    </xdr:from>
    <xdr:to>
      <xdr:col>16</xdr:col>
      <xdr:colOff>136019</xdr:colOff>
      <xdr:row>0</xdr:row>
      <xdr:rowOff>555708</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232114" y="105177"/>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1167115</xdr:colOff>
      <xdr:row>1</xdr:row>
      <xdr:rowOff>59244</xdr:rowOff>
    </xdr:from>
    <xdr:to>
      <xdr:col>14</xdr:col>
      <xdr:colOff>365720</xdr:colOff>
      <xdr:row>1</xdr:row>
      <xdr:rowOff>516444</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085537" y="694246"/>
          <a:ext cx="20052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1164226</xdr:colOff>
      <xdr:row>0</xdr:row>
      <xdr:rowOff>107117</xdr:rowOff>
    </xdr:from>
    <xdr:to>
      <xdr:col>14</xdr:col>
      <xdr:colOff>365899</xdr:colOff>
      <xdr:row>0</xdr:row>
      <xdr:rowOff>564317</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089316" y="111881"/>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146050</xdr:colOff>
          <xdr:row>0</xdr:row>
          <xdr:rowOff>114300</xdr:rowOff>
        </xdr:from>
        <xdr:to>
          <xdr:col>4</xdr:col>
          <xdr:colOff>1562100</xdr:colOff>
          <xdr:row>0</xdr:row>
          <xdr:rowOff>571500</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New MP On 11"x17"</a:t>
              </a:r>
            </a:p>
            <a:p>
              <a:pPr algn="ctr" rtl="0">
                <a:defRPr sz="1000"/>
              </a:pPr>
              <a:r>
                <a:rPr lang="en-CA"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0</xdr:row>
          <xdr:rowOff>114300</xdr:rowOff>
        </xdr:from>
        <xdr:to>
          <xdr:col>9</xdr:col>
          <xdr:colOff>641350</xdr:colOff>
          <xdr:row>0</xdr:row>
          <xdr:rowOff>571500</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1708150</xdr:colOff>
          <xdr:row>0</xdr:row>
          <xdr:rowOff>114300</xdr:rowOff>
        </xdr:from>
        <xdr:to>
          <xdr:col>6</xdr:col>
          <xdr:colOff>1066800</xdr:colOff>
          <xdr:row>0</xdr:row>
          <xdr:rowOff>571500</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New MP On 8.5"x11"</a:t>
              </a:r>
            </a:p>
            <a:p>
              <a:pPr algn="ctr" rtl="0">
                <a:defRPr sz="1000"/>
              </a:pPr>
              <a:r>
                <a:rPr lang="en-CA"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336550</xdr:colOff>
          <xdr:row>0</xdr:row>
          <xdr:rowOff>114300</xdr:rowOff>
        </xdr:from>
        <xdr:to>
          <xdr:col>3</xdr:col>
          <xdr:colOff>31750</xdr:colOff>
          <xdr:row>0</xdr:row>
          <xdr:rowOff>571500</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Check Existing MP with</a:t>
              </a:r>
            </a:p>
            <a:p>
              <a:pPr algn="ctr" rtl="0">
                <a:defRPr sz="1000"/>
              </a:pPr>
              <a:r>
                <a:rPr lang="en-CA"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755650</xdr:colOff>
          <xdr:row>0</xdr:row>
          <xdr:rowOff>114300</xdr:rowOff>
        </xdr:from>
        <xdr:to>
          <xdr:col>10</xdr:col>
          <xdr:colOff>76200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Add Comments </a:t>
              </a:r>
            </a:p>
            <a:p>
              <a:pPr algn="ctr" rtl="0">
                <a:defRPr sz="1000"/>
              </a:pPr>
              <a:r>
                <a:rPr lang="en-CA"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146050</xdr:colOff>
          <xdr:row>1</xdr:row>
          <xdr:rowOff>69850</xdr:rowOff>
        </xdr:from>
        <xdr:to>
          <xdr:col>4</xdr:col>
          <xdr:colOff>1562100</xdr:colOff>
          <xdr:row>1</xdr:row>
          <xdr:rowOff>527050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MHI</a:t>
              </a:r>
            </a:p>
            <a:p>
              <a:pPr algn="ctr" rtl="0">
                <a:defRPr sz="1000"/>
              </a:pPr>
              <a:r>
                <a:rPr lang="en-CA"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1708150</xdr:colOff>
          <xdr:row>1</xdr:row>
          <xdr:rowOff>69850</xdr:rowOff>
        </xdr:from>
        <xdr:to>
          <xdr:col>6</xdr:col>
          <xdr:colOff>1066800</xdr:colOff>
          <xdr:row>1</xdr:row>
          <xdr:rowOff>527050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336550</xdr:colOff>
          <xdr:row>1</xdr:row>
          <xdr:rowOff>38100</xdr:rowOff>
        </xdr:from>
        <xdr:to>
          <xdr:col>3</xdr:col>
          <xdr:colOff>31750</xdr:colOff>
          <xdr:row>1</xdr:row>
          <xdr:rowOff>495300</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1</xdr:row>
          <xdr:rowOff>69850</xdr:rowOff>
        </xdr:from>
        <xdr:to>
          <xdr:col>9</xdr:col>
          <xdr:colOff>641350</xdr:colOff>
          <xdr:row>1</xdr:row>
          <xdr:rowOff>527050</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Kinectrics</a:t>
              </a:r>
            </a:p>
            <a:p>
              <a:pPr algn="ctr" rtl="0">
                <a:defRPr sz="1000"/>
              </a:pPr>
              <a:r>
                <a:rPr lang="en-CA"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222250</xdr:colOff>
          <xdr:row>0</xdr:row>
          <xdr:rowOff>107950</xdr:rowOff>
        </xdr:from>
        <xdr:to>
          <xdr:col>11</xdr:col>
          <xdr:colOff>1060450</xdr:colOff>
          <xdr:row>0</xdr:row>
          <xdr:rowOff>565150</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723900</xdr:colOff>
          <xdr:row>1</xdr:row>
          <xdr:rowOff>69850</xdr:rowOff>
        </xdr:from>
        <xdr:to>
          <xdr:col>10</xdr:col>
          <xdr:colOff>69850</xdr:colOff>
          <xdr:row>1</xdr:row>
          <xdr:rowOff>527050</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222250</xdr:colOff>
          <xdr:row>1</xdr:row>
          <xdr:rowOff>69850</xdr:rowOff>
        </xdr:from>
        <xdr:to>
          <xdr:col>11</xdr:col>
          <xdr:colOff>1060450</xdr:colOff>
          <xdr:row>1</xdr:row>
          <xdr:rowOff>527050</xdr:rowOff>
        </xdr:to>
        <xdr:sp macro="" textlink="">
          <xdr:nvSpPr>
            <xdr:cNvPr id="662548" name="Button 10260" hidden="1">
              <a:extLst>
                <a:ext uri="{63B3BB69-23CF-44E3-9099-C40C66FF867C}">
                  <a14:compatExt spid="_x0000_s662548"/>
                </a:ext>
                <a:ext uri="{FF2B5EF4-FFF2-40B4-BE49-F238E27FC236}">
                  <a16:creationId xmlns:a16="http://schemas.microsoft.com/office/drawing/2014/main" id="{00000000-0008-0000-0000-0000141C0A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3041650</xdr:colOff>
          <xdr:row>28</xdr:row>
          <xdr:rowOff>152400</xdr:rowOff>
        </xdr:from>
        <xdr:to>
          <xdr:col>5</xdr:col>
          <xdr:colOff>869950</xdr:colOff>
          <xdr:row>30</xdr:row>
          <xdr:rowOff>107950</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26</xdr:row>
          <xdr:rowOff>31750</xdr:rowOff>
        </xdr:from>
        <xdr:to>
          <xdr:col>5</xdr:col>
          <xdr:colOff>908050</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Add/Mod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1289050</xdr:colOff>
          <xdr:row>28</xdr:row>
          <xdr:rowOff>152400</xdr:rowOff>
        </xdr:from>
        <xdr:to>
          <xdr:col>4</xdr:col>
          <xdr:colOff>2965450</xdr:colOff>
          <xdr:row>30</xdr:row>
          <xdr:rowOff>107950</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Use Previous</a:t>
              </a:r>
            </a:p>
            <a:p>
              <a:pPr algn="ctr" rtl="0">
                <a:defRPr sz="1000"/>
              </a:pPr>
              <a:r>
                <a:rPr lang="en-CA" sz="1000" b="0" i="0" u="none" strike="noStrike" baseline="0">
                  <a:solidFill>
                    <a:srgbClr val="000000"/>
                  </a:solidFill>
                  <a:latin typeface="Arial"/>
                  <a:cs typeface="Arial"/>
                </a:rPr>
                <a:t>JOB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6</xdr:col>
          <xdr:colOff>0</xdr:colOff>
          <xdr:row>5</xdr:row>
          <xdr:rowOff>31750</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Get 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28</xdr:row>
          <xdr:rowOff>152400</xdr:rowOff>
        </xdr:from>
        <xdr:to>
          <xdr:col>2</xdr:col>
          <xdr:colOff>1670050</xdr:colOff>
          <xdr:row>30</xdr:row>
          <xdr:rowOff>107950</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1746250</xdr:colOff>
          <xdr:row>28</xdr:row>
          <xdr:rowOff>146050</xdr:rowOff>
        </xdr:from>
        <xdr:to>
          <xdr:col>4</xdr:col>
          <xdr:colOff>1212850</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717550</xdr:colOff>
          <xdr:row>16</xdr:row>
          <xdr:rowOff>260350</xdr:rowOff>
        </xdr:from>
        <xdr:to>
          <xdr:col>3</xdr:col>
          <xdr:colOff>1174750</xdr:colOff>
          <xdr:row>20</xdr:row>
          <xdr:rowOff>222250</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600" b="0" i="0" u="none" strike="noStrike" baseline="0">
                  <a:solidFill>
                    <a:srgbClr val="0000FF"/>
                  </a:solidFill>
                  <a:latin typeface="Times New Roman"/>
                  <a:cs typeface="Times New Roman"/>
                </a:rPr>
                <a:t>Enter Start Date &amp; End Date </a:t>
              </a:r>
            </a:p>
            <a:p>
              <a:pPr algn="ctr" rtl="0">
                <a:defRPr sz="1000"/>
              </a:pPr>
              <a:r>
                <a:rPr lang="en-CA" sz="1600" b="0" i="0" u="none" strike="noStrike" baseline="0">
                  <a:solidFill>
                    <a:srgbClr val="0000FF"/>
                  </a:solidFill>
                  <a:latin typeface="Times New Roman"/>
                  <a:cs typeface="Times New Roman"/>
                </a:rPr>
                <a:t>For Performance Report</a:t>
              </a:r>
            </a:p>
            <a:p>
              <a:pPr algn="ctr" rtl="0">
                <a:defRPr sz="1000"/>
              </a:pPr>
              <a:r>
                <a:rPr lang="en-CA" sz="1600" b="0" i="0" u="none" strike="noStrike" baseline="0">
                  <a:solidFill>
                    <a:srgbClr val="0000FF"/>
                  </a:solidFill>
                  <a:latin typeface="Times New Roman"/>
                  <a:cs typeface="Times New Roman"/>
                </a:rPr>
                <a:t>(2015 and After)</a:t>
              </a:r>
            </a:p>
            <a:p>
              <a:pPr algn="ctr" rtl="0">
                <a:defRPr sz="1000"/>
              </a:pPr>
              <a:r>
                <a:rPr lang="en-CA"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488950</xdr:colOff>
          <xdr:row>16</xdr:row>
          <xdr:rowOff>31750</xdr:rowOff>
        </xdr:from>
        <xdr:to>
          <xdr:col>3</xdr:col>
          <xdr:colOff>946150</xdr:colOff>
          <xdr:row>19</xdr:row>
          <xdr:rowOff>336550</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600" b="0" i="0" u="none" strike="noStrike" baseline="0">
                  <a:solidFill>
                    <a:srgbClr val="0000FF"/>
                  </a:solidFill>
                  <a:latin typeface="Times New Roman"/>
                  <a:cs typeface="Times New Roman"/>
                </a:rPr>
                <a:t>Enter Start Date &amp; End Date </a:t>
              </a:r>
            </a:p>
            <a:p>
              <a:pPr algn="ctr" rtl="0">
                <a:defRPr sz="1000"/>
              </a:pPr>
              <a:r>
                <a:rPr lang="en-CA" sz="1600" b="0" i="0" u="none" strike="noStrike" baseline="0">
                  <a:solidFill>
                    <a:srgbClr val="0000FF"/>
                  </a:solidFill>
                  <a:latin typeface="Times New Roman"/>
                  <a:cs typeface="Times New Roman"/>
                </a:rPr>
                <a:t>For Performance Report</a:t>
              </a:r>
            </a:p>
            <a:p>
              <a:pPr algn="ctr" rtl="0">
                <a:defRPr sz="1000"/>
              </a:pPr>
              <a:r>
                <a:rPr lang="en-CA" sz="1600" b="0" i="0" u="none" strike="noStrike" baseline="0">
                  <a:solidFill>
                    <a:srgbClr val="0000FF"/>
                  </a:solidFill>
                  <a:latin typeface="Times New Roman"/>
                  <a:cs typeface="Times New Roman"/>
                </a:rPr>
                <a:t>(BF Feb 2015)</a:t>
              </a:r>
            </a:p>
            <a:p>
              <a:pPr algn="ctr" rtl="0">
                <a:defRPr sz="1000"/>
              </a:pPr>
              <a:r>
                <a:rPr lang="en-CA"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file:///\\rtdnas2\Drawings\A.E.C.L%20(CANDU)\RT79-88230-RN-R012%20-%20FEEDER%20TEMPLATES%20FOR%20C1R\SharedFiles\RT-CEPC-25-0007T\rt-88230-0200-01-ga-e%20Rev1%20upper%20feeder%20instalation%20template%20general%20assy.pdf" TargetMode="External"/><Relationship Id="rId21" Type="http://schemas.openxmlformats.org/officeDocument/2006/relationships/hyperlink" Target="file:///\\rtdnas2\Drawings\A.E.C.L%20(CANDU)\RT98-87000-PN-R018%20%20BRT%20BELLOWS%20REMOVAL%20CUTTING%20TOOL%20FOR%20QINSHAN\rt-87000-71230-1011-1-dd-b.pdf" TargetMode="External"/><Relationship Id="rId42" Type="http://schemas.openxmlformats.org/officeDocument/2006/relationships/hyperlink" Target="file:///\\rtdnas2\Drawings\A.E.C.L%20(CANDU)\RT98%20RFPs\RT98-87640-RFQ-R002\RT98-CEPC-22-0055T\rt-87640-72150-000-1-ga-e.pdf" TargetMode="External"/><Relationship Id="rId63" Type="http://schemas.openxmlformats.org/officeDocument/2006/relationships/hyperlink" Target="file:///\\rtdnas2\Drawings\A.E.C.L%20(CANDU)\RT98-88010-RFP-R010%20-%20GROUP%207A%20OF%20TOOLS%20FOR%20QINSHAN\DWG\rt-88000-70059-000-1-ga-e.pdf" TargetMode="External"/><Relationship Id="rId84" Type="http://schemas.openxmlformats.org/officeDocument/2006/relationships/hyperlink" Target="file:///\\rtdnas2\Drawings\A.E.C.L%20(CANDU)\RT79-88010-RFP-R015\DWG\rt-88000-70056-000-1-ga-e.pdf" TargetMode="External"/><Relationship Id="rId138" Type="http://schemas.openxmlformats.org/officeDocument/2006/relationships/drawing" Target="../drawings/drawing1.xml"/><Relationship Id="rId107" Type="http://schemas.openxmlformats.org/officeDocument/2006/relationships/hyperlink" Target="file:///\\rtdnas2\Drawings\A.E.C.L%20(CANDU)\RT98-87590-RFP-R007%20-%20MOCK%20UP%20LWTF%20TROLLEY%20FOR%20QINSHAN\APPENDIX%20C\rt-87640-70300-000-1-ga-e%20LWTF%20mock-up%20trolley%20(E-12779-0300-0000%20rev%20A).pdf" TargetMode="External"/><Relationship Id="rId11" Type="http://schemas.openxmlformats.org/officeDocument/2006/relationships/hyperlink" Target="file:///\\rtdnas2\Drawings\A.E.C.L%20(CANDU)\RT98-87000-PN-R018%20%20BRT%20BELLOWS%20REMOVAL%20CUTTING%20TOOL%20FOR%20QINSHAN\rt-87000-71150-1001-1-dd-d.pdf" TargetMode="External"/><Relationship Id="rId32" Type="http://schemas.openxmlformats.org/officeDocument/2006/relationships/hyperlink" Target="file:///\\rtdnas2\Drawings\A.E.C.L%20(CANDU)\RT98-87920-PN-R015-CMMS%20Rev0\rt-88000-70047-000-1-ga-d.pdf" TargetMode="External"/><Relationship Id="rId53" Type="http://schemas.openxmlformats.org/officeDocument/2006/relationships/hyperlink" Target="file:///\\rtdnas2\Drawings\A.E.C.L%20(CANDU)\RT98-88010-RFP-R010%20-%20GROUP%207A%20OF%20TOOLS%20FOR%20QINSHAN\DWG\rt-88000-70036-002-2-dd-d.pdf" TargetMode="External"/><Relationship Id="rId74" Type="http://schemas.openxmlformats.org/officeDocument/2006/relationships/hyperlink" Target="file:///\\rtdnas2\Drawings\A.E.C.L%20(CANDU)\RT79-87000-PN-R020%20%20BRT%20BELLOWS%20REMOVAL%20CUTTING%20TOOL%20FOR%20C1R\SharedFiles\RT-CEPC-25-0147T\RT-CEPC-25-0147T\rt-87000-0300-1-ga-d.pdf" TargetMode="External"/><Relationship Id="rId128" Type="http://schemas.openxmlformats.org/officeDocument/2006/relationships/hyperlink" Target="file:///\\rtdnas2\Drawings\A.E.C.L%20(CANDU)\RT79-87550-RFP-R001%20-%20MANUFACTURE%20OF%20SFCR%20BELLOWS%20CUT%20TOOL%20FOR%20C1R\PO%20RT98-875650-PN-R004%20%20&amp;%20PO%20RT79-87550-PN-R001\rt-87550-0145-01-ga-e.pdf" TargetMode="External"/><Relationship Id="rId149" Type="http://schemas.openxmlformats.org/officeDocument/2006/relationships/ctrlProp" Target="../ctrlProps/ctrlProp10.xml"/><Relationship Id="rId5" Type="http://schemas.openxmlformats.org/officeDocument/2006/relationships/hyperlink" Target="file:///\\rtdnas2\Drawings\A.E.C.L%20(CANDU)\RT98-87640-RFP-R005%20-%20GROUP%207D%20(CARTS%20&amp;%20RACKS)%20FOR%20QINSHAN\DWG%20Update\DWG\rt-88000-0300-01-ga-e.pdf" TargetMode="External"/><Relationship Id="rId95" Type="http://schemas.openxmlformats.org/officeDocument/2006/relationships/hyperlink" Target="file:///\\rtdnas2\Drawings\A.E.C.L%20(CANDU)\RT79-88020-RFP-R003%20-%20SA%20TRANSPORT%20CONTAINERS%20AND%20EF%20TRANSPORT%20CONTAINERS%20FOR%20C1R%20-%20BID%20EXTENSION\APPENDIX%20C\APPENDIX%20C\rt-88030-70120-2000-1-ga-b.pdf" TargetMode="External"/><Relationship Id="rId22" Type="http://schemas.openxmlformats.org/officeDocument/2006/relationships/hyperlink" Target="file:///\\rtdnas2\Drawings\A.E.C.L%20(CANDU)\RT98-87000-PN-R018%20%20BRT%20BELLOWS%20REMOVAL%20CUTTING%20TOOL%20FOR%20QINSHAN\rt-87000-71230-1012-1-dd-b.pdf" TargetMode="External"/><Relationship Id="rId27" Type="http://schemas.openxmlformats.org/officeDocument/2006/relationships/hyperlink" Target="file:///\\rtdnas2\Drawings\A.E.C.L%20(CANDU)\RT98-87920-RFP-R017%20-%20GROUP%207C%20(LIFTING%20BEAMS)%20FOR%20QINSHAN\DWG\rt-87290-7024-1-ga-d.pdf" TargetMode="External"/><Relationship Id="rId43" Type="http://schemas.openxmlformats.org/officeDocument/2006/relationships/hyperlink" Target="file:///\\rtdnas2\Drawings\A.E.C.L%20(CANDU)\RT98%20RFPs\RT98-87640-RFQ-R002\RT98-CEPC-22-0055T\rt-87640-72150-000-1-ga-e.pdf" TargetMode="External"/><Relationship Id="rId48" Type="http://schemas.openxmlformats.org/officeDocument/2006/relationships/hyperlink" Target="file:///\\rtdnas2\Drawings\A.E.C.L%20(CANDU)\RT98-87640-RN-R004%20-%20SF,%20LWTF%20AND%20AIRLOCK%20TROLLEYS%20and%20TRACKS%20ASSEMBLIES%20FOR%20QINSHAN\RFP-RT98-87640-RN-R004%20-%20Drawings\rt-87640-70315-051-1-ga-c.pdf" TargetMode="External"/><Relationship Id="rId64" Type="http://schemas.openxmlformats.org/officeDocument/2006/relationships/hyperlink" Target="file:///\\rtdnas2\Drawings\A.E.C.L%20(CANDU)\RT98-88010-RFP-R010%20-%20GROUP%207A%20OF%20TOOLS%20FOR%20QINSHAN\DWG\rt-88000-73530-100-1-dd-e.pdf" TargetMode="External"/><Relationship Id="rId69" Type="http://schemas.openxmlformats.org/officeDocument/2006/relationships/hyperlink" Target="file:///\\rtdnas2\Drawings\A.E.C.L%20(CANDU)\RT79-87000-PN-R020%20%20BRT%20BELLOWS%20REMOVAL%20CUTTING%20TOOL%20FOR%20C1R\SharedFiles\RT-CEPC-25-0131T\RT-CEPC-25-0131T\rt-87000-71200-1000-1-ga-e.pdf" TargetMode="External"/><Relationship Id="rId113" Type="http://schemas.openxmlformats.org/officeDocument/2006/relationships/hyperlink" Target="file:///\\rtdnas2\Drawings\A.E.C.L%20(CANDU)\RT79-88230-RN-R012%20-%20FEEDER%20TEMPLATES%20FOR%20C1R\SharedFiles\RT-CEPC-25-0007T\rt-88230-0249-01-ga-d%20upper%20feeder%20installation%20template%20template%20assy%20MK.%20TP-3A.pdf" TargetMode="External"/><Relationship Id="rId118" Type="http://schemas.openxmlformats.org/officeDocument/2006/relationships/hyperlink" Target="file:///\\rtdnas2\Drawings\A.E.C.L%20(CANDU)\RT79-88230-RN-R012%20-%20FEEDER%20TEMPLATES%20FOR%20C1R\SharedFiles\RT-CEPC-25-0007T\rt-88230-0245-01-ga-e%20upper%20feeder%20installation%20template%20template%20assy%20MK.%20TP-1A.pdf" TargetMode="External"/><Relationship Id="rId134" Type="http://schemas.openxmlformats.org/officeDocument/2006/relationships/hyperlink" Target="file:///\\192.168.0.194\Drawings\A.E.C.L%20(CANDU)\RT79-87540-RFP-R001%20-%20GROUP%2015%20TOOLS%20FOR%20C1R\LATTICE%20SLEEVE%20REMOVAL%20TOOL%20C%20SIDE\rt-87600-0250-1-ga-e%20general%20assy.pdf" TargetMode="External"/><Relationship Id="rId139" Type="http://schemas.openxmlformats.org/officeDocument/2006/relationships/vmlDrawing" Target="../drawings/vmlDrawing1.vml"/><Relationship Id="rId80" Type="http://schemas.openxmlformats.org/officeDocument/2006/relationships/hyperlink" Target="file:///\\rtdnas2\Drawings\A.E.C.L%20(CANDU)\216-02123-PN-T110\RT-87920-74245-048-1-DD-B-%20Rev.0-%20Coupling.pdf" TargetMode="External"/><Relationship Id="rId85" Type="http://schemas.openxmlformats.org/officeDocument/2006/relationships/hyperlink" Target="file:///\\rtdnas2\Drawings\A.E.C.L%20(CANDU)\RT98-87272-PN-R013%20FCP%20AUXILIARY%20TOOLS%20%20FOR%20QINSHAN\SharedFiles\rt-88030-0053-01-ga-d.pdf" TargetMode="External"/><Relationship Id="rId150" Type="http://schemas.openxmlformats.org/officeDocument/2006/relationships/ctrlProp" Target="../ctrlProps/ctrlProp11.xml"/><Relationship Id="rId12" Type="http://schemas.openxmlformats.org/officeDocument/2006/relationships/hyperlink" Target="file:///\\rtdnas2\Drawings\A.E.C.L%20(CANDU)\RT98-87000-PN-R018%20%20BRT%20BELLOWS%20REMOVAL%20CUTTING%20TOOL%20FOR%20QINSHAN\rt-87000-71200-1000-1-ga-e.pdf" TargetMode="External"/><Relationship Id="rId17" Type="http://schemas.openxmlformats.org/officeDocument/2006/relationships/hyperlink" Target="file:///\\rtdnas2\Drawings\A.E.C.L%20(CANDU)\RT98-87000-PN-R018%20%20BRT%20BELLOWS%20REMOVAL%20CUTTING%20TOOL%20FOR%20QINSHAN\rt-87000-0300-1-ga-d.pdf" TargetMode="External"/><Relationship Id="rId33" Type="http://schemas.openxmlformats.org/officeDocument/2006/relationships/hyperlink" Target="file:///\\rtdnas2\Drawings\A.E.C.L%20(CANDU)\RT98-87920-PN-R015-CMMS%20Rev0\rt-88040-0005-01-ga-e.pdf" TargetMode="External"/><Relationship Id="rId38" Type="http://schemas.openxmlformats.org/officeDocument/2006/relationships/hyperlink" Target="file:///\\rtdnas2\Drawings\A.E.C.L%20(CANDU)\RT98-88040-PN-R004%20GROUP%205D%20FOR%20QINSHAN\RT98-88040-RFP-R004%20%20GROUP%205D%20FOR%20QINSHAN\additional%20DWG\DWG\rt-88030-0007-01-ga-1.pdf" TargetMode="External"/><Relationship Id="rId59" Type="http://schemas.openxmlformats.org/officeDocument/2006/relationships/hyperlink" Target="file:///\\rtdnas2\Drawings\A.E.C.L%20(CANDU)\RT98-88010-RFP-R010%20-%20GROUP%207A%20OF%20TOOLS%20FOR%20QINSHAN\DWG\rt-88000-73530-100-1-dd-e.pdf" TargetMode="External"/><Relationship Id="rId103" Type="http://schemas.openxmlformats.org/officeDocument/2006/relationships/hyperlink" Target="file:///\\rtdnas2\Drawings\A.E.C.L%20(CANDU)\RT98-87000-PN-R012%20-%20PITCH-YAW%20MOUNTING%20TABLE%20AND%20PITCH-YAW%20MOUNTING%20FRAME%20TOOL%20FOR%20QINSHAN\RT98-CEPC-24-0154T\RT98-CEPC-24-0154T\rt-87250-74010-000-1-ga-e.pdf" TargetMode="External"/><Relationship Id="rId108" Type="http://schemas.openxmlformats.org/officeDocument/2006/relationships/hyperlink" Target="file:///\\rtdnas2\Drawings\A.E.C.L%20(CANDU)\RT98-87590-RFP-R007%20-%20MOCK%20UP%20LWTF%20TROLLEY%20FOR%20QINSHAN\APPENDIX%20C\rt-87640-70300-000-1-ga-e%20LWTF%20mock-up%20trolley%20(E-12779-0300-0000%20rev%20A).pdf" TargetMode="External"/><Relationship Id="rId124" Type="http://schemas.openxmlformats.org/officeDocument/2006/relationships/hyperlink" Target="file:///\\rtdnas2\Drawings\A.E.C.L%20(CANDU)\RT79-88230-RN-R012%20-%20FEEDER%20TEMPLATES%20FOR%20C1R\SharedFiles\RT-CEPC-25-0007T\rt-88230-0251-01-ga-d%20upper%20feeder%20installation%20template%20template%20assy%20MK.%20TP-4A.pdf" TargetMode="External"/><Relationship Id="rId129" Type="http://schemas.openxmlformats.org/officeDocument/2006/relationships/hyperlink" Target="file:///\\rtdnas2\Drawings\A.E.C.L%20(CANDU)\RT79-87110-RFP-R002%20-%20END%20SHIELD%20COOLING%20PIPE%20ASSEMBLY%20%20FOR%20BELLOWS%20WELDING%20TOOL%20MOCK-UP%20FOR%20C1R\wrong%20-%20APPENDIX%20C\rt-87550-0100-01-ga-e.pdf" TargetMode="External"/><Relationship Id="rId54" Type="http://schemas.openxmlformats.org/officeDocument/2006/relationships/hyperlink" Target="file:///\\rtdnas2\Drawings\A.E.C.L%20(CANDU)\RT98-88010-RFP-R010%20-%20GROUP%207A%20OF%20TOOLS%20FOR%20QINSHAN\DWG\rt-88000-70012-000-1-ga-e.pdf" TargetMode="External"/><Relationship Id="rId70" Type="http://schemas.openxmlformats.org/officeDocument/2006/relationships/hyperlink" Target="file:///\\rtdnas2\Drawings\A.E.C.L%20(CANDU)\RT79-87000-PN-R020%20%20BRT%20BELLOWS%20REMOVAL%20CUTTING%20TOOL%20FOR%20C1R\SharedFiles\RT-CEPC-25-0131T\RT-CEPC-25-0131T\rt-87000-71225-1000-1-ga-e.pdf" TargetMode="External"/><Relationship Id="rId75" Type="http://schemas.openxmlformats.org/officeDocument/2006/relationships/hyperlink" Target="file:///\\rtdnas2\Drawings\A.E.C.L%20(CANDU)\RT79-87000-PN-R020%20%20BRT%20BELLOWS%20REMOVAL%20CUTTING%20TOOL%20FOR%20C1R\SharedFiles\RT-CEPC-25-0147T\RT-CEPC-25-0147T\rt-87000-0166-1-ga-c.pdf" TargetMode="External"/><Relationship Id="rId91" Type="http://schemas.openxmlformats.org/officeDocument/2006/relationships/hyperlink" Target="file:///\\rtdnas2\Drawings\A.E.C.L%20(CANDU)\RT98-87272-PN-R013%20FCP%20AUXILIARY%20TOOLS%20%20FOR%20QINSHAN\SharedFiles\rt-87500-0108-1-ga-0.pdf" TargetMode="External"/><Relationship Id="rId96" Type="http://schemas.openxmlformats.org/officeDocument/2006/relationships/hyperlink" Target="file:///\\rtdnas2\Drawings\A.E.C.L%20(CANDU)\RT79-88020-RFP-R003%20-%20SA%20TRANSPORT%20CONTAINERS%20AND%20EF%20TRANSPORT%20CONTAINERS%20FOR%20C1R%20-%20BID%20EXTENSION\APPENDIX%20C\APPENDIX%20C\rt-88030-70121-2000-1-ga-b.pdf" TargetMode="External"/><Relationship Id="rId140" Type="http://schemas.openxmlformats.org/officeDocument/2006/relationships/ctrlProp" Target="../ctrlProps/ctrlProp1.xml"/><Relationship Id="rId145" Type="http://schemas.openxmlformats.org/officeDocument/2006/relationships/ctrlProp" Target="../ctrlProps/ctrlProp6.xml"/><Relationship Id="rId1" Type="http://schemas.openxmlformats.org/officeDocument/2006/relationships/printerSettings" Target="../printerSettings/printerSettings1.bin"/><Relationship Id="rId6" Type="http://schemas.openxmlformats.org/officeDocument/2006/relationships/hyperlink" Target="file:///\\rtdnas2\Drawings\A.E.C.L%20(CANDU)\RT98-87920-RFP-R015%20-%20GROUP%205F%20FOR%20QINSHAN\DWG\rt-88000-70047-000-1-ga-d.pdf" TargetMode="External"/><Relationship Id="rId23" Type="http://schemas.openxmlformats.org/officeDocument/2006/relationships/hyperlink" Target="file:///\\rtdnas2\Drawings\A.E.C.L%20(CANDU)\RT79-87840-PN-R002%20-%20CV%20FME%20INSPECTION%20TOOL%20FOR%20C1R%20Additional%20SCOPE%20and%20DCI\DWG\rt-87840-0220-01-ga-2.pdf" TargetMode="External"/><Relationship Id="rId28" Type="http://schemas.openxmlformats.org/officeDocument/2006/relationships/hyperlink" Target="file:///\\rtdnas2\Drawings\A.E.C.L%20(CANDU)\RT98-87640-RFP-R005%20-%20GROUP%207D%20(CARTS%20&amp;%20RACKS)%20FOR%20QINSHAN\DWG%20Update\DWG\rt-87600-70050-1-ga-b.pdf" TargetMode="External"/><Relationship Id="rId49" Type="http://schemas.openxmlformats.org/officeDocument/2006/relationships/hyperlink" Target="file:///\\rtdnas2\Drawings\A.E.C.L%20(CANDU)\RT98-87640-RN-R004%20-%20SF,%20LWTF%20AND%20AIRLOCK%20TROLLEYS%20and%20TRACKS%20ASSEMBLIES%20FOR%20QINSHAN\RFP-RT98-87640-RN-R004%20-%20Drawings\rt-87640-70315-052-1-ga-c.pdf" TargetMode="External"/><Relationship Id="rId114" Type="http://schemas.openxmlformats.org/officeDocument/2006/relationships/hyperlink" Target="file:///\\rtdnas2\Drawings\A.E.C.L%20(CANDU)\RT79-88230-RN-R012%20-%20FEEDER%20TEMPLATES%20FOR%20C1R\SharedFiles\RT-CEPC-25-0007T\rt-88230-0250-01-ga-d%20upper%20feeder%20installation%20template%20template%20assy%20MK.%20TP-3C.pdf" TargetMode="External"/><Relationship Id="rId119" Type="http://schemas.openxmlformats.org/officeDocument/2006/relationships/hyperlink" Target="file:///\\rtdnas2\Drawings\A.E.C.L%20(CANDU)\RT79-88230-RN-R012%20-%20FEEDER%20TEMPLATES%20FOR%20C1R\SharedFiles\RT-CEPC-25-0007T\rt-88230-0246-01-ga-e%20upper%20feeder%20installation%20template%20template%20assy%20MK.%20TP-1C.pdf" TargetMode="External"/><Relationship Id="rId44" Type="http://schemas.openxmlformats.org/officeDocument/2006/relationships/hyperlink" Target="file:///\\rtdnas2\Drawings\A.E.C.L%20(CANDU)\RT98%20RFPs\RT98-87640-RFQ-R001\RT98-CEPC-22-0057T\rt-87640-70320-000-1-ga-e.pdf" TargetMode="External"/><Relationship Id="rId60" Type="http://schemas.openxmlformats.org/officeDocument/2006/relationships/hyperlink" Target="file:///\\rtdnas2\Drawings\A.E.C.L%20(CANDU)\RT98-88010-RFP-R010%20-%20GROUP%207A%20OF%20TOOLS%20FOR%20QINSHAN\DWG\rt-88000-70035-002-1-dd-d.pdf" TargetMode="External"/><Relationship Id="rId65" Type="http://schemas.openxmlformats.org/officeDocument/2006/relationships/hyperlink" Target="file:///\\rtdnas2\Drawings\A.E.C.L%20(CANDU)\RT79-87000-PN-R020%20%20BRT%20BELLOWS%20REMOVAL%20CUTTING%20TOOL%20FOR%20C1R\SharedFiles\RT-CEPC-25-0131T\RT-CEPC-25-0131T\rt-87000-71100-1000-1-ga-e%20-%20Redlined.pdf" TargetMode="External"/><Relationship Id="rId81" Type="http://schemas.openxmlformats.org/officeDocument/2006/relationships/hyperlink" Target="file:///\\rtdnas2\Drawings\A.E.C.L%20(CANDU)\216-02123-PN-T110\RT-87920-74245-048-1-DD-B-%20Rev.0-%20Coupling.pdf" TargetMode="External"/><Relationship Id="rId86" Type="http://schemas.openxmlformats.org/officeDocument/2006/relationships/hyperlink" Target="file:///\\rtdnas2\Drawings\A.E.C.L%20(CANDU)\RT98-87272-PN-R013%20FCP%20AUXILIARY%20TOOLS%20%20FOR%20QINSHAN\SharedFiles\rt-88020-0200-1-ga-c.pdf" TargetMode="External"/><Relationship Id="rId130" Type="http://schemas.openxmlformats.org/officeDocument/2006/relationships/hyperlink" Target="file:///\\rtdnas2\Drawings\A.E.C.L%20(CANDU)\RT79-87550-RFP-R001%20-%20MANUFACTURE%20OF%20SFCR%20BELLOWS%20CUT%20TOOL%20FOR%20C1R\PO%20RT98-875650-PN-R004%20%20&amp;%20PO%20RT79-87550-PN-R001\rt-87550-0145-01-ga-e.pdf" TargetMode="External"/><Relationship Id="rId135" Type="http://schemas.openxmlformats.org/officeDocument/2006/relationships/hyperlink" Target="file:///\\192.168.0.194\Drawings\A.E.C.L%20(CANDU)\RT79-87900-RFP-R003%20-%20C6-BORE%20GAUGE%20AND%20C6-BORE%20GAUGE-NARROW%20LANDING%20FOR%20C1R\Drawings\RT-87900-0500-01-GA-E%20Rev.3.pdf" TargetMode="External"/><Relationship Id="rId151" Type="http://schemas.openxmlformats.org/officeDocument/2006/relationships/ctrlProp" Target="../ctrlProps/ctrlProp12.xml"/><Relationship Id="rId13" Type="http://schemas.openxmlformats.org/officeDocument/2006/relationships/hyperlink" Target="file:///\\rtdnas2\Drawings\A.E.C.L%20(CANDU)\RT98-87000-PN-R018%20%20BRT%20BELLOWS%20REMOVAL%20CUTTING%20TOOL%20FOR%20QINSHAN\rt-87000-71225-1000-1-ga-e.pdf" TargetMode="External"/><Relationship Id="rId18" Type="http://schemas.openxmlformats.org/officeDocument/2006/relationships/hyperlink" Target="file:///\\rtdnas2\Drawings\A.E.C.L%20(CANDU)\RT98-87000-PN-R018%20%20BRT%20BELLOWS%20REMOVAL%20CUTTING%20TOOL%20FOR%20QINSHAN\rt-87000-0166-1-ga-c.pdf" TargetMode="External"/><Relationship Id="rId39" Type="http://schemas.openxmlformats.org/officeDocument/2006/relationships/hyperlink" Target="file:///\\rtdnas2\Drawings\A.E.C.L%20(CANDU)\RT98-88040-PN-R004%20GROUP%205D%20FOR%20QINSHAN\DWG\rt-88030-0090-01-ga-c.pdf" TargetMode="External"/><Relationship Id="rId109" Type="http://schemas.openxmlformats.org/officeDocument/2006/relationships/hyperlink" Target="file:///\\rtdnas2\Drawings\A.E.C.L%20(CANDU)\RT79-88230-RN-R012%20-%20FEEDER%20TEMPLATES%20FOR%20C1R\SharedFiles\RT-CEPC-25-0007T\rt-88230-0245-01-ga-e%20upper%20feeder%20installation%20template%20template%20assy%20MK.%20TP-1A.pdf" TargetMode="External"/><Relationship Id="rId34" Type="http://schemas.openxmlformats.org/officeDocument/2006/relationships/hyperlink" Target="file:///\\rtdnas2\Drawings\A.E.C.L%20(CANDU)\RT98-87920-PN-R015-CMMS%20Rev0\rt-87600-0220-1-ga-e.pdf" TargetMode="External"/><Relationship Id="rId50" Type="http://schemas.openxmlformats.org/officeDocument/2006/relationships/hyperlink" Target="file:///\\rtdnas2\Drawings\A.E.C.L%20(CANDU)\TMR%202025-0094\Sketches\RT-87910-0133-1-GA-0%20Rev5%20Scribing%20Tool%20Assy.pdf" TargetMode="External"/><Relationship Id="rId55" Type="http://schemas.openxmlformats.org/officeDocument/2006/relationships/hyperlink" Target="file:///\\rtdnas2\Drawings\A.E.C.L%20(CANDU)\RT30-17100-RFP-R001-DESIGN%20AND%20MANUFACTURE%20OF%20THE%20CT%20&amp;%20FC%20PREP%20TOOLS\DWG\rt-88000-70035-000-1-ga-e.pdf" TargetMode="External"/><Relationship Id="rId76" Type="http://schemas.openxmlformats.org/officeDocument/2006/relationships/hyperlink" Target="file:///\\rtdnas2\Drawings\A.E.C.L%20(CANDU)\RT79-87000-PN-R020%20%20BRT%20BELLOWS%20REMOVAL%20CUTTING%20TOOL%20FOR%20C1R\SharedFiles\RT-CEPC-25-0147T\RT-CEPC-25-0147T\rt-87000-0165-1-sk-c.pdf" TargetMode="External"/><Relationship Id="rId97" Type="http://schemas.openxmlformats.org/officeDocument/2006/relationships/hyperlink" Target="file:///\\rtdnas2\Drawings\A.E.C.L%20(CANDU)\RT79-87900-RFP-R003%20-%20C6-BORE%20GAUGE%20AND%20C6-BORE%20GAUGE-NARROW%20LANDING%20FOR%20C1R\Drawings\RT-87900-0400-1-GA-E%20Rev.6.pdf" TargetMode="External"/><Relationship Id="rId104" Type="http://schemas.openxmlformats.org/officeDocument/2006/relationships/hyperlink" Target="file:///\\rtdnas2\Drawings\A.E.C.L%20(CANDU)\RT98-87590-PN-R006%20-%20EFSP%20REMOVAL%20TOOL%20FOR%20QINSHAN\RT-CEPC-25-0061T\All%20Drawings\rt-87590-70000-000-1-ga-e.pdf" TargetMode="External"/><Relationship Id="rId120" Type="http://schemas.openxmlformats.org/officeDocument/2006/relationships/hyperlink" Target="file:///\\rtdnas2\Drawings\A.E.C.L%20(CANDU)\RT79-88230-RN-R012%20-%20FEEDER%20TEMPLATES%20FOR%20C1R\SharedFiles\RT-CEPC-25-0007T\rt-88230-0247-01-ga-e%20upper%20feeder%20installation%20template%20template%20assy%20MK.%20TP-2A.pdf" TargetMode="External"/><Relationship Id="rId125" Type="http://schemas.openxmlformats.org/officeDocument/2006/relationships/hyperlink" Target="file:///\\rtdnas2\Drawings\A.E.C.L%20(CANDU)\RT79-88230-RN-R012%20-%20FEEDER%20TEMPLATES%20FOR%20C1R\SharedFiles\RT-CEPC-25-0007T\rt-88230-0252-01-ga-d%20upper%20feeder%20installation%20template%20template%20assy%20MK.%20TP-4C.pdf" TargetMode="External"/><Relationship Id="rId141" Type="http://schemas.openxmlformats.org/officeDocument/2006/relationships/ctrlProp" Target="../ctrlProps/ctrlProp2.xml"/><Relationship Id="rId146" Type="http://schemas.openxmlformats.org/officeDocument/2006/relationships/ctrlProp" Target="../ctrlProps/ctrlProp7.xml"/><Relationship Id="rId7" Type="http://schemas.openxmlformats.org/officeDocument/2006/relationships/hyperlink" Target="file:///\\rtdnas2\Drawings\Kinectrics\K-565052-DET-0002-00%20Side%20Support%20-Kin-approved.pdf" TargetMode="External"/><Relationship Id="rId71" Type="http://schemas.openxmlformats.org/officeDocument/2006/relationships/hyperlink" Target="file:///\\rtdnas2\Drawings\A.E.C.L%20(CANDU)\RT79-87000-PN-R020%20%20BRT%20BELLOWS%20REMOVAL%20CUTTING%20TOOL%20FOR%20C1R\SharedFiles\RT-CEPC-25-0131T\RT-CEPC-25-0131T\rt-87000-71300-1000-1-ga-e.pdf" TargetMode="External"/><Relationship Id="rId92" Type="http://schemas.openxmlformats.org/officeDocument/2006/relationships/hyperlink" Target="file:///\\rtdnas2\Drawings\A.E.C.L%20(CANDU)\RT98-87272-PN-R013%20FCP%20AUXILIARY%20TOOLS%20%20FOR%20QINSHAN\SharedFiles\rt-87590-70201-4000-1-ga-b.pdf" TargetMode="External"/><Relationship Id="rId2" Type="http://schemas.openxmlformats.org/officeDocument/2006/relationships/printerSettings" Target="../printerSettings/printerSettings2.bin"/><Relationship Id="rId29" Type="http://schemas.openxmlformats.org/officeDocument/2006/relationships/hyperlink" Target="file:///\\rtdnas2\Drawings\A.E.C.L%20(CANDU)\RT98-87640-RFP-R005%20-%20GROUP%207D%20(CARTS%20&amp;%20RACKS)%20FOR%20QINSHAN\DWG%20Update\DWG\rt-87910-0110-1-ga-0.pdf" TargetMode="External"/><Relationship Id="rId24" Type="http://schemas.openxmlformats.org/officeDocument/2006/relationships/hyperlink" Target="file:///\\rtdnas2\Drawings\A.E.C.L%20(CANDU)\RT98-87920-RFP-R017%20-%20GROUP%207C%20(LIFTING%20BEAMS)%20FOR%20QINSHAN\DWG\rt-88000-70010-000-1-ga-e.pdf" TargetMode="External"/><Relationship Id="rId40" Type="http://schemas.openxmlformats.org/officeDocument/2006/relationships/hyperlink" Target="file:///\\rtdnas2\Drawings\A.E.C.L%20(CANDU)\RT98-88040-PN-R004%20GROUP%205D%20FOR%20QINSHAN\DWG\rt-88080-71000-038-01-ga-e.pdf" TargetMode="External"/><Relationship Id="rId45" Type="http://schemas.openxmlformats.org/officeDocument/2006/relationships/hyperlink" Target="file:///\\rtdnas2\Drawings\A.E.C.L%20(CANDU)\RT98%20RFPs\RT98-87640-RFQ-R002\RT98-CEPC-22-0055T\rt-87640-70315-000-1-ga-e.pdf" TargetMode="External"/><Relationship Id="rId66" Type="http://schemas.openxmlformats.org/officeDocument/2006/relationships/hyperlink" Target="file:///\\rtdnas2\Drawings\A.E.C.L%20(CANDU)\RT79-87000-PN-R020%20%20BRT%20BELLOWS%20REMOVAL%20CUTTING%20TOOL%20FOR%20C1R\SharedFiles\RT-CEPC-25-0131T\RT-CEPC-25-0131T\rt-87000-71150-1000-1-ga-e.pdf" TargetMode="External"/><Relationship Id="rId87" Type="http://schemas.openxmlformats.org/officeDocument/2006/relationships/hyperlink" Target="file:///\\rtdnas2\Drawings\A.E.C.L%20(CANDU)\RT98-87272-PN-R013%20FCP%20AUXILIARY%20TOOLS%20%20FOR%20QINSHAN\SharedFiles\rt-87920-74107-000-1-ga-e.pdf" TargetMode="External"/><Relationship Id="rId110" Type="http://schemas.openxmlformats.org/officeDocument/2006/relationships/hyperlink" Target="file:///\\rtdnas2\Drawings\A.E.C.L%20(CANDU)\RT79-88230-RN-R012%20-%20FEEDER%20TEMPLATES%20FOR%20C1R\SharedFiles\RT-CEPC-25-0007T\rt-88230-0246-01-ga-e%20upper%20feeder%20installation%20template%20template%20assy%20MK.%20TP-1C.pdf" TargetMode="External"/><Relationship Id="rId115" Type="http://schemas.openxmlformats.org/officeDocument/2006/relationships/hyperlink" Target="file:///\\rtdnas2\Drawings\A.E.C.L%20(CANDU)\RT79-88230-RN-R012%20-%20FEEDER%20TEMPLATES%20FOR%20C1R\SharedFiles\RT-CEPC-25-0007T\rt-88230-0251-01-ga-d%20upper%20feeder%20installation%20template%20template%20assy%20MK.%20TP-4A.pdf" TargetMode="External"/><Relationship Id="rId131" Type="http://schemas.openxmlformats.org/officeDocument/2006/relationships/hyperlink" Target="file:///\\rtdnas2\Drawings\A.E.C.L%20(CANDU)\MCR-18310-RN-R004%20-%20CHANNEL%20CLOSURE%20AND%20SP%20INSTALLATION%20TOOLS%20-%20Budgetary%20Proposal\Channel%20Closure%20and%20SP%20Install%20tools\rt38-18310-012%20SP%20Loading%20Trough\rt38-88080-0104-001-dd-1%20rev1%20toggle%20clamp%20detail.pdf" TargetMode="External"/><Relationship Id="rId136" Type="http://schemas.openxmlformats.org/officeDocument/2006/relationships/hyperlink" Target="file:///\\192.168.0.194\Drawings\A.E.C.L%20(CANDU)\RT79-87110-RFP-R009%20-%20C1R%20MOCKUP%20-%20FEEDER%20COUPLING%20ASSEMBLY\Drawings\rt-87120-70184-003-1-dd-b%20seal%20ring%20washer%20mockup%20(5565-01-84-003).pdf" TargetMode="External"/><Relationship Id="rId61" Type="http://schemas.openxmlformats.org/officeDocument/2006/relationships/hyperlink" Target="file:///\\rtdnas2\Drawings\A.E.C.L%20(CANDU)\RT98-88010-RFP-R010%20-%20GROUP%207A%20OF%20TOOLS%20FOR%20QINSHAN\DWG\rt-88000-70036-011-1-dd-d.pdf" TargetMode="External"/><Relationship Id="rId82" Type="http://schemas.openxmlformats.org/officeDocument/2006/relationships/hyperlink" Target="file:///\\rtdnas2\Drawings\A.E.C.L%20(CANDU)\RT79-87920-RFP-R008%20%20AIR%20MOTOR%20STAND%20AND%20MODIFIED%20AIR%20MOTOR%20ADAPTOR%20FOR%20C1R\DWG\rt-87920-74245-000-1-ga-e.pdf" TargetMode="External"/><Relationship Id="rId152" Type="http://schemas.openxmlformats.org/officeDocument/2006/relationships/comments" Target="../comments1.xml"/><Relationship Id="rId19" Type="http://schemas.openxmlformats.org/officeDocument/2006/relationships/hyperlink" Target="file:///\\rtdnas2\Drawings\A.E.C.L%20(CANDU)\RT98-87000-PN-R018%20%20BRT%20BELLOWS%20REMOVAL%20CUTTING%20TOOL%20FOR%20QINSHAN\rt-87000-0165-1-sk-c.pdf" TargetMode="External"/><Relationship Id="rId14" Type="http://schemas.openxmlformats.org/officeDocument/2006/relationships/hyperlink" Target="file:///\\rtdnas2\Drawings\A.E.C.L%20(CANDU)\RT98-87000-PN-R018%20%20BRT%20BELLOWS%20REMOVAL%20CUTTING%20TOOL%20FOR%20QINSHAN\rt-87000-71300-1000-1-ga-e.pdf" TargetMode="External"/><Relationship Id="rId30" Type="http://schemas.openxmlformats.org/officeDocument/2006/relationships/hyperlink" Target="file:///\\rtdnas2\Drawings\A.E.C.L%20(CANDU)\RT98-87920-PN-R015-CMMS%20Rev0\rt-88000-70057-020-1-ga-d.pdf" TargetMode="External"/><Relationship Id="rId35" Type="http://schemas.openxmlformats.org/officeDocument/2006/relationships/hyperlink" Target="file:///\\rtdnas2\Drawings\A.E.C.L%20(CANDU)\RT98-87920-PN-R015-CMMS%20Rev0\rt-87920-74105-000-1-ga-e.pdf" TargetMode="External"/><Relationship Id="rId56" Type="http://schemas.openxmlformats.org/officeDocument/2006/relationships/hyperlink" Target="file:///\\rtdnas2\Drawings\A.E.C.L%20(CANDU)\RT30-17100-RFP-R001-DESIGN%20AND%20MANUFACTURE%20OF%20THE%20CT%20&amp;%20FC%20PREP%20TOOLS\DWG\rt-88000-70036-000-1-ga-e.pdf" TargetMode="External"/><Relationship Id="rId77" Type="http://schemas.openxmlformats.org/officeDocument/2006/relationships/hyperlink" Target="file:///\\rtdnas2\Drawings\A.E.C.L%20(CANDU)\RT79-87000-PN-R020%20%20BRT%20BELLOWS%20REMOVAL%20CUTTING%20TOOL%20FOR%20C1R\SharedFiles\RT-CEPC-25-0131T\RT-CEPC-25-0131T\rt-87000-71200-1004-1-dd-b.pdf" TargetMode="External"/><Relationship Id="rId100" Type="http://schemas.openxmlformats.org/officeDocument/2006/relationships/hyperlink" Target="file:///\\rtdnas2\Drawings\A.E.C.L%20(CANDU)\RT98-87250-PN-R007%20-%20INSTALLATION%20WORKTABLE%20AND%20INSTALLATION%20WORKTABLE%20SUPPORT%20FRAME%20FOR%20QINSHAN\PO%20Drawings\rt-87250-0400-01-ga-e.pdf" TargetMode="External"/><Relationship Id="rId105" Type="http://schemas.openxmlformats.org/officeDocument/2006/relationships/hyperlink" Target="file:///\\rtdnas2\Drawings\A.E.C.L%20(CANDU)\RT79-87630-PN-R005%20-%20VRS%20MANUAL%20RETRIEVAL%20TOOL%20FOR%20C1R\DWG\rt-87630-71254-1000-1-ga-d.pdf" TargetMode="External"/><Relationship Id="rId126" Type="http://schemas.openxmlformats.org/officeDocument/2006/relationships/hyperlink" Target="file:///\\rtdnas2\Drawings\A.E.C.L%20(CANDU)\RT79-88230-RN-R012%20-%20FEEDER%20TEMPLATES%20FOR%20C1R\SharedFiles\RT-CEPC-25-0007T\rt-88230-0200-01-ga-e%20Rev1%20upper%20feeder%20instalation%20template%20general%20assy.pdf" TargetMode="External"/><Relationship Id="rId147" Type="http://schemas.openxmlformats.org/officeDocument/2006/relationships/ctrlProp" Target="../ctrlProps/ctrlProp8.xml"/><Relationship Id="rId8" Type="http://schemas.openxmlformats.org/officeDocument/2006/relationships/hyperlink" Target="file:///\\rtdnas2\Drawings\A.E.C.L%20(CANDU)\RT98-87000-PN-R018%20%20BRT%20BELLOWS%20REMOVAL%20CUTTING%20TOOL%20FOR%20QINSHAN\rt-87000-71100-1000-1-ga-e.pdf" TargetMode="External"/><Relationship Id="rId51" Type="http://schemas.openxmlformats.org/officeDocument/2006/relationships/hyperlink" Target="file:///\\rtdnas2\Drawings\A.E.C.L%20(CANDU)\RT98-88010-RFP-R010%20-%20GROUP%207A%20OF%20TOOLS%20FOR%20QINSHAN\DWG\rt-88000-70059-000-1-ga-e.pdf" TargetMode="External"/><Relationship Id="rId72" Type="http://schemas.openxmlformats.org/officeDocument/2006/relationships/hyperlink" Target="file:///\\rtdnas2\Drawings\A.E.C.L%20(CANDU)\RT79-87000-PN-R020%20%20BRT%20BELLOWS%20REMOVAL%20CUTTING%20TOOL%20FOR%20C1R\SharedFiles\RT-CEPC-25-0131T\RT-CEPC-25-0131T\rt-87000-72000-1000-1-ga-e.pdf" TargetMode="External"/><Relationship Id="rId93" Type="http://schemas.openxmlformats.org/officeDocument/2006/relationships/hyperlink" Target="file:///\\rtdnas2\Drawings\A.E.C.L%20(CANDU)\RT98-87272-PN-R013%20FCP%20AUXILIARY%20TOOLS%20%20FOR%20QINSHAN\SharedFiles\RT-79100-0100-01-GA-E%20Rev.1.pdf" TargetMode="External"/><Relationship Id="rId98" Type="http://schemas.openxmlformats.org/officeDocument/2006/relationships/hyperlink" Target="file:///\\rtdnas2\Drawings\A.E.C.L%20(CANDU)\RT79-87900-RFP-R003%20-%20C6-BORE%20GAUGE%20AND%20C6-BORE%20GAUGE-NARROW%20LANDING%20FOR%20C1R\Drawings\RT-87900-0500-01-GA-E%20Rev.3.pdf" TargetMode="External"/><Relationship Id="rId121" Type="http://schemas.openxmlformats.org/officeDocument/2006/relationships/hyperlink" Target="file:///\\rtdnas2\Drawings\A.E.C.L%20(CANDU)\RT79-88230-RN-R012%20-%20FEEDER%20TEMPLATES%20FOR%20C1R\SharedFiles\RT-CEPC-25-0007T\rt-88230-0248-01-ga-e%20upper%20feeder%20installation%20template%20template%20assy%20MK.%20TP-2C.pdf" TargetMode="External"/><Relationship Id="rId142" Type="http://schemas.openxmlformats.org/officeDocument/2006/relationships/ctrlProp" Target="../ctrlProps/ctrlProp3.xml"/><Relationship Id="rId3" Type="http://schemas.openxmlformats.org/officeDocument/2006/relationships/printerSettings" Target="../printerSettings/printerSettings3.bin"/><Relationship Id="rId25" Type="http://schemas.openxmlformats.org/officeDocument/2006/relationships/hyperlink" Target="file:///\\rtdnas2\Drawings\A.E.C.L%20(CANDU)\RT98-87920-RFP-R017%20-%20GROUP%207C%20(LIFTING%20BEAMS)%20FOR%20QINSHAN\DWG\rt-88000-70018-000-1-ga-e.pdf" TargetMode="External"/><Relationship Id="rId46" Type="http://schemas.openxmlformats.org/officeDocument/2006/relationships/hyperlink" Target="file:///\\rtdnas2\Drawings\A.E.C.L%20(CANDU)\RT98-87640-RN-R004%20-%20SF,%20LWTF%20AND%20AIRLOCK%20TROLLEYS%20and%20TRACKS%20ASSEMBLIES%20FOR%20QINSHAN\RFP-RT98-87640-RN-R004%20-%20Drawings\rt-87640-70315-049-1-ga-c.pdf" TargetMode="External"/><Relationship Id="rId67" Type="http://schemas.openxmlformats.org/officeDocument/2006/relationships/hyperlink" Target="file:///\\rtdnas2\Drawings\A.E.C.L%20(CANDU)\RT79-87000-PN-R020%20%20BRT%20BELLOWS%20REMOVAL%20CUTTING%20TOOL%20FOR%20C1R\SharedFiles\RT-CEPC-25-0131T\RT-CEPC-25-0131T\rt-87000-71150-1021-1-dd-d.pdf" TargetMode="External"/><Relationship Id="rId116" Type="http://schemas.openxmlformats.org/officeDocument/2006/relationships/hyperlink" Target="file:///\\rtdnas2\Drawings\A.E.C.L%20(CANDU)\RT79-88230-RN-R012%20-%20FEEDER%20TEMPLATES%20FOR%20C1R\SharedFiles\RT-CEPC-25-0007T\rt-88230-0252-01-ga-d%20upper%20feeder%20installation%20template%20template%20assy%20MK.%20TP-4C.pdf" TargetMode="External"/><Relationship Id="rId137" Type="http://schemas.openxmlformats.org/officeDocument/2006/relationships/printerSettings" Target="../printerSettings/printerSettings4.bin"/><Relationship Id="rId20" Type="http://schemas.openxmlformats.org/officeDocument/2006/relationships/hyperlink" Target="file:///\\rtdnas2\Drawings\A.E.C.L%20(CANDU)\RT98-87000-PN-R018%20%20BRT%20BELLOWS%20REMOVAL%20CUTTING%20TOOL%20FOR%20QINSHAN\rt-87000-71200-1004-1-dd-b.pdf" TargetMode="External"/><Relationship Id="rId41" Type="http://schemas.openxmlformats.org/officeDocument/2006/relationships/hyperlink" Target="file:///\\rtdnas2\Drawings\A.E.C.L%20(CANDU)\RT98-88040-PN-R004%20GROUP%205D%20FOR%20QINSHAN\DWG\rt-88090-71055-2000-1-ga-d.pdf" TargetMode="External"/><Relationship Id="rId62" Type="http://schemas.openxmlformats.org/officeDocument/2006/relationships/hyperlink" Target="file:///\\rtdnas2\Drawings\A.E.C.L%20(CANDU)\RT98-88010-RFP-R010%20-%20GROUP%207A%20OF%20TOOLS%20FOR%20QINSHAN\DWG\rt-88000-70035-011-1-dd-d.pdf" TargetMode="External"/><Relationship Id="rId83" Type="http://schemas.openxmlformats.org/officeDocument/2006/relationships/hyperlink" Target="file:///\\rtdnas2\Drawings\A.E.C.L%20(CANDU)\RT98-87920-RFP-R014%20-%20GROUP%205G%20FOR%20QINSHAN\DWG\rt-88000-70097-000-1-ga-e.pdf" TargetMode="External"/><Relationship Id="rId88" Type="http://schemas.openxmlformats.org/officeDocument/2006/relationships/hyperlink" Target="file:///\\rtdnas2\Drawings\A.E.C.L%20(CANDU)\RT98-88040-PN-R004%20GROUP%205D%20FOR%20QINSHAN\RT98-88040-RFP-R004%20%20GROUP%205D%20FOR%20QINSHAN\DWG\21rt-88070-0326-001-ga-1%20rev1%20channel%20closure%20cart%20tool.pdf" TargetMode="External"/><Relationship Id="rId111" Type="http://schemas.openxmlformats.org/officeDocument/2006/relationships/hyperlink" Target="file:///\\rtdnas2\Drawings\A.E.C.L%20(CANDU)\RT79-88230-RN-R012%20-%20FEEDER%20TEMPLATES%20FOR%20C1R\SharedFiles\RT-CEPC-25-0007T\rt-88230-0247-01-ga-e%20upper%20feeder%20installation%20template%20template%20assy%20MK.%20TP-2A.pdf" TargetMode="External"/><Relationship Id="rId132" Type="http://schemas.openxmlformats.org/officeDocument/2006/relationships/hyperlink" Target="file:///\\rtdnas2\Drawings\A.E.C.L%20(CANDU)\RT98-87250-PN-R007%20-%20INSTALLATION%20WORKTABLE%20AND%20INSTALLATION%20WORKTABLE%20SUPPORT%20FRAME%20FOR%20QINSHAN\PO%20Drawings\rt-87250-70000-5000-1-ga-b.pdf" TargetMode="External"/><Relationship Id="rId15" Type="http://schemas.openxmlformats.org/officeDocument/2006/relationships/hyperlink" Target="file:///\\rtdnas2\Drawings\A.E.C.L%20(CANDU)\RT98-87000-PN-R018%20%20BRT%20BELLOWS%20REMOVAL%20CUTTING%20TOOL%20FOR%20QINSHAN\rt-87000-72000-1000-1-ga-e.pdf" TargetMode="External"/><Relationship Id="rId36" Type="http://schemas.openxmlformats.org/officeDocument/2006/relationships/hyperlink" Target="file:///\\rtdnas2\Drawings\A.E.C.L%20(CANDU)\RT98-87920-PN-R015-CMMS%20Rev0\RT-88030-0140-1-DD-C.pdf" TargetMode="External"/><Relationship Id="rId57" Type="http://schemas.openxmlformats.org/officeDocument/2006/relationships/hyperlink" Target="file:///\\rtdnas2\Drawings\A.E.C.L%20(CANDU)\RT98-88010-RFP-R010%20-%20GROUP%207A%20OF%20TOOLS%20FOR%20QINSHAN\DWG\rt-88000-70050-000-1-ga-e.pdf" TargetMode="External"/><Relationship Id="rId106" Type="http://schemas.openxmlformats.org/officeDocument/2006/relationships/hyperlink" Target="file:///\\rtdnas2\Drawings\A.E.C.L%20(CANDU)\RT79-79112-PN-R002%20-%20SMALL%20WASTE%20TRANSFER%20FLASK%20FOR%20C1R\RT79-79112-RFP-R002%20-%20SMALL%20WASTE%20TRANSFER%20FLASK%20FOR%20C1R\RT-CEPC-25-0024T\rt-79112-0300-01-ga-e\59rt-79112-0004-01-dd-b.pdf" TargetMode="External"/><Relationship Id="rId127" Type="http://schemas.openxmlformats.org/officeDocument/2006/relationships/hyperlink" Target="file:///\\rtdnas2\Drawings\A.E.C.L%20(CANDU)\RT79-87110-RFP-R002%20-%20END%20SHIELD%20COOLING%20PIPE%20ASSEMBLY%20%20FOR%20BELLOWS%20WELDING%20TOOL%20MOCK-UP%20FOR%20C1R\wrong%20-%20APPENDIX%20C\rt-87550-0100-01-ga-e.pdf" TargetMode="External"/><Relationship Id="rId10" Type="http://schemas.openxmlformats.org/officeDocument/2006/relationships/hyperlink" Target="file:///\\rtdnas2\Drawings\A.E.C.L%20(CANDU)\RT98-87000-PN-R018%20%20BRT%20BELLOWS%20REMOVAL%20CUTTING%20TOOL%20FOR%20QINSHAN\rt-87000-71150-1021-1-dd-d.pdf" TargetMode="External"/><Relationship Id="rId31" Type="http://schemas.openxmlformats.org/officeDocument/2006/relationships/hyperlink" Target="file:///\\rtdnas2\Drawings\A.E.C.L%20(CANDU)\RT98-87920-PN-R015-CMMS%20Rev0\rt-88010-0160-1-dd-c.pdf" TargetMode="External"/><Relationship Id="rId52" Type="http://schemas.openxmlformats.org/officeDocument/2006/relationships/hyperlink" Target="file:///\\rtdnas2\Drawings\A.E.C.L%20(CANDU)\RT98-88010-RFP-R010%20-%20GROUP%207A%20OF%20TOOLS%20FOR%20QINSHAN\DWG\rt-88000-70011-000-1-ga-e.pdf" TargetMode="External"/><Relationship Id="rId73" Type="http://schemas.openxmlformats.org/officeDocument/2006/relationships/hyperlink" Target="file:///\\rtdnas2\Drawings\A.E.C.L%20(CANDU)\RT79-87000-PN-R020%20%20BRT%20BELLOWS%20REMOVAL%20CUTTING%20TOOL%20FOR%20C1R\SharedFiles\RT-CEPC-25-0147T\RT-CEPC-25-0147T\rt-87000-0223-1-ga-2.pdf" TargetMode="External"/><Relationship Id="rId78" Type="http://schemas.openxmlformats.org/officeDocument/2006/relationships/hyperlink" Target="file:///\\rtdnas2\Drawings\A.E.C.L%20(CANDU)\RT79-87000-PN-R020%20%20BRT%20BELLOWS%20REMOVAL%20CUTTING%20TOOL%20FOR%20C1R\SharedFiles\RT-CEPC-25-0131T\RT-CEPC-25-0131T\rt-87000-71230-1011-1-dd-b.pdf" TargetMode="External"/><Relationship Id="rId94" Type="http://schemas.openxmlformats.org/officeDocument/2006/relationships/hyperlink" Target="file:///\\rtdnas2\Drawings\A.E.C.L%20(CANDU)\RT98-87272-PN-R013%20FCP%20AUXILIARY%20TOOLS%20%20FOR%20QINSHAN\SharedFiles\rt-87000-0480-1-ga-d.pdf" TargetMode="External"/><Relationship Id="rId99" Type="http://schemas.openxmlformats.org/officeDocument/2006/relationships/hyperlink" Target="file:///\\rtdnas2\Drawings\A.E.C.L%20(CANDU)\RT79-87840-RFP-R002%20-%20CV%20FME%20INSPECTION%20TOOL%20FOR%20C1R\Rev%202%20RFP%20Document%20-%20RT79-87840-RFP-R002%20-%20CV%20FME%20INSPECTION%20TOOL%20FOR%20C1R\RT-87840-70000-1000-1-GA-B.pdf" TargetMode="External"/><Relationship Id="rId101" Type="http://schemas.openxmlformats.org/officeDocument/2006/relationships/hyperlink" Target="file:///\\rtdnas2\Drawings\A.E.C.L%20(CANDU)\RT98-87250-PN-R007%20-%20INSTALLATION%20WORKTABLE%20AND%20INSTALLATION%20WORKTABLE%20SUPPORT%20FRAME%20FOR%20QINSHAN\PO%20Drawings\rt-87920-0051-01-dd-c.pdf" TargetMode="External"/><Relationship Id="rId122" Type="http://schemas.openxmlformats.org/officeDocument/2006/relationships/hyperlink" Target="file:///\\rtdnas2\Drawings\A.E.C.L%20(CANDU)\RT79-88230-RN-R012%20-%20FEEDER%20TEMPLATES%20FOR%20C1R\SharedFiles\RT-CEPC-25-0007T\rt-88230-0249-01-ga-d%20upper%20feeder%20installation%20template%20template%20assy%20MK.%20TP-3A.pdf" TargetMode="External"/><Relationship Id="rId143" Type="http://schemas.openxmlformats.org/officeDocument/2006/relationships/ctrlProp" Target="../ctrlProps/ctrlProp4.xml"/><Relationship Id="rId148" Type="http://schemas.openxmlformats.org/officeDocument/2006/relationships/ctrlProp" Target="../ctrlProps/ctrlProp9.xml"/><Relationship Id="rId4" Type="http://schemas.openxmlformats.org/officeDocument/2006/relationships/hyperlink" Target="file:///\\rtdnas2\Drawings\A.E.C.L%20(CANDU)\RT79-87540-RFP-R001%20-%20GROUP%2015%20TOOLS%20FOR%20C1R\LATTICE%20SLEEVE%20REMOVAL%20TOOL%20C%20SIDE\rt-87600-0250-1-ga-e%20general%20assy.pdf" TargetMode="External"/><Relationship Id="rId9" Type="http://schemas.openxmlformats.org/officeDocument/2006/relationships/hyperlink" Target="file:///\\rtdnas2\Drawings\A.E.C.L%20(CANDU)\RT98-87000-PN-R018%20%20BRT%20BELLOWS%20REMOVAL%20CUTTING%20TOOL%20FOR%20QINSHAN\rt-87000-71150-1000-1-ga-e.pdf" TargetMode="External"/><Relationship Id="rId26" Type="http://schemas.openxmlformats.org/officeDocument/2006/relationships/hyperlink" Target="file:///\\rtdnas2\Drawings\A.E.C.L%20(CANDU)\RT98-87920-RFP-R017%20-%20GROUP%207C%20(LIFTING%20BEAMS)%20FOR%20QINSHAN\DWG\rt-87290-7020-1-ga-d.pdf" TargetMode="External"/><Relationship Id="rId47" Type="http://schemas.openxmlformats.org/officeDocument/2006/relationships/hyperlink" Target="file:///\\rtdnas2\Drawings\A.E.C.L%20(CANDU)\RT98-87640-RN-R004%20-%20SF,%20LWTF%20AND%20AIRLOCK%20TROLLEYS%20and%20TRACKS%20ASSEMBLIES%20FOR%20QINSHAN\RFP-RT98-87640-RN-R004%20-%20Drawings\rt-87640-70315-050-1-ga-c.pdf" TargetMode="External"/><Relationship Id="rId68" Type="http://schemas.openxmlformats.org/officeDocument/2006/relationships/hyperlink" Target="file:///\\rtdnas2\Drawings\A.E.C.L%20(CANDU)\RT79-87000-PN-R020%20%20BRT%20BELLOWS%20REMOVAL%20CUTTING%20TOOL%20FOR%20C1R\SharedFiles\RT-CEPC-25-0131T\RT-CEPC-25-0131T\rt-87000-71150-1001-1-dd-d.pdf" TargetMode="External"/><Relationship Id="rId89" Type="http://schemas.openxmlformats.org/officeDocument/2006/relationships/hyperlink" Target="file:///\\rtdnas2\Drawings\A.E.C.L%20(CANDU)\RT98-87272-PN-R013%20FCP%20AUXILIARY%20TOOLS%20%20FOR%20QINSHAN\SharedFiles\rt-87920-74104-000-1-ga-e.pdf" TargetMode="External"/><Relationship Id="rId112" Type="http://schemas.openxmlformats.org/officeDocument/2006/relationships/hyperlink" Target="file:///\\rtdnas2\Drawings\A.E.C.L%20(CANDU)\RT79-88230-RN-R012%20-%20FEEDER%20TEMPLATES%20FOR%20C1R\SharedFiles\RT-CEPC-25-0007T\rt-88230-0248-01-ga-e%20upper%20feeder%20installation%20template%20template%20assy%20MK.%20TP-2C.pdf" TargetMode="External"/><Relationship Id="rId133" Type="http://schemas.openxmlformats.org/officeDocument/2006/relationships/hyperlink" Target="file:///\\192.168.0.194\Drawings\A.E.C.L%20(CANDU)\RT79-87000-RFP-R006%20-%20BELLOWS%20REPLACEMENT%20TOOLING%20FOR%20C1R\APPENDIX%20C%20TECHNICAL%20REQUIREMENTS%20AND%20SPECIFICATIONS\rt-87000-72000-1006-1-dd-e%20Rev1%20Mock-up%20Ferule-C1%20(E-13055-2000-0006).pdf" TargetMode="External"/><Relationship Id="rId16" Type="http://schemas.openxmlformats.org/officeDocument/2006/relationships/hyperlink" Target="file:///\\rtdnas2\Drawings\A.E.C.L%20(CANDU)\RT98-87000-PN-R018%20%20BRT%20BELLOWS%20REMOVAL%20CUTTING%20TOOL%20FOR%20QINSHAN\rt-87000-0223-1-ga-2.pdf" TargetMode="External"/><Relationship Id="rId37" Type="http://schemas.openxmlformats.org/officeDocument/2006/relationships/hyperlink" Target="file:///\\rtdnas2\Drawings\A.E.C.L%20(CANDU)\RT98-88040-PN-R004%20GROUP%205D%20FOR%20QINSHAN\DWG\rt-88040-0020-01-ga-1.pdf" TargetMode="External"/><Relationship Id="rId58" Type="http://schemas.openxmlformats.org/officeDocument/2006/relationships/hyperlink" Target="file:///\\rtdnas2\Drawings\A.E.C.L%20(CANDU)\MCR-17700-PN-R010-CMMS\ZIP" TargetMode="External"/><Relationship Id="rId79" Type="http://schemas.openxmlformats.org/officeDocument/2006/relationships/hyperlink" Target="file:///\\rtdnas2\Drawings\A.E.C.L%20(CANDU)\RT79-87000-PN-R020%20%20BRT%20BELLOWS%20REMOVAL%20CUTTING%20TOOL%20FOR%20C1R\SharedFiles\RT-CEPC-25-0131T\RT-CEPC-25-0131T\rt-87000-71230-1012-1-dd-b.pdf" TargetMode="External"/><Relationship Id="rId102" Type="http://schemas.openxmlformats.org/officeDocument/2006/relationships/hyperlink" Target="file:///\\rtdnas2\Drawings\A.E.C.L%20(CANDU)\RT98-87000-PN-R012%20-%20PITCH-YAW%20MOUNTING%20TABLE%20AND%20PITCH-YAW%20MOUNTING%20FRAME%20TOOL%20FOR%20QINSHAN\RT98-CEPC-24-0154T\RT98-CEPC-24-0154T\rt-87250-74016-000-1-ga-e.pdf" TargetMode="External"/><Relationship Id="rId123" Type="http://schemas.openxmlformats.org/officeDocument/2006/relationships/hyperlink" Target="file:///\\rtdnas2\Drawings\A.E.C.L%20(CANDU)\RT79-88230-RN-R012%20-%20FEEDER%20TEMPLATES%20FOR%20C1R\SharedFiles\RT-CEPC-25-0007T\rt-88230-0250-01-ga-d%20upper%20feeder%20installation%20template%20template%20assy%20MK.%20TP-3C.pdf" TargetMode="External"/><Relationship Id="rId144" Type="http://schemas.openxmlformats.org/officeDocument/2006/relationships/ctrlProp" Target="../ctrlProps/ctrlProp5.xml"/><Relationship Id="rId90" Type="http://schemas.openxmlformats.org/officeDocument/2006/relationships/hyperlink" Target="file:///\\rtdnas2\Drawings\A.E.C.L%20(CANDU)\RT98-87272-PN-R013%20FCP%20AUXILIARY%20TOOLS%20%20FOR%20QINSHAN\SharedFiles\rt-87590-0250-1-ga-0.pdf"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674"/>
  <sheetViews>
    <sheetView tabSelected="1" topLeftCell="C1" zoomScale="70" zoomScaleNormal="70" zoomScaleSheetLayoutView="100" workbookViewId="0">
      <pane ySplit="3" topLeftCell="A445" activePane="bottomLeft" state="frozen"/>
      <selection pane="bottomLeft" activeCell="K456" sqref="K456"/>
    </sheetView>
  </sheetViews>
  <sheetFormatPr defaultColWidth="8.54296875" defaultRowHeight="18" customHeight="1"/>
  <cols>
    <col min="1" max="1" width="9.54296875" style="204" customWidth="1"/>
    <col min="2" max="2" width="10.453125" style="205" customWidth="1"/>
    <col min="3" max="3" width="14.453125" style="175" customWidth="1"/>
    <col min="4" max="4" width="8.54296875" style="207" customWidth="1"/>
    <col min="5" max="5" width="31.54296875" style="175" customWidth="1"/>
    <col min="6" max="6" width="7.54296875" style="243" customWidth="1"/>
    <col min="7" max="7" width="18.453125" style="175" customWidth="1"/>
    <col min="8" max="8" width="12.54296875" style="206" customWidth="1"/>
    <col min="9" max="9" width="7.54296875" style="207" customWidth="1"/>
    <col min="10" max="10" width="40.453125" style="175" customWidth="1"/>
    <col min="11" max="11" width="17.453125" style="235" customWidth="1"/>
    <col min="12" max="12" width="24.453125" style="207" customWidth="1"/>
    <col min="13" max="13" width="10.54296875" style="225" customWidth="1"/>
    <col min="14" max="14" width="7.453125" style="204" customWidth="1"/>
    <col min="15" max="15" width="11.54296875" style="208" customWidth="1"/>
    <col min="16" max="16" width="23.54296875" style="247" customWidth="1"/>
    <col min="17" max="17" width="14.54296875" style="253" customWidth="1"/>
    <col min="18" max="18" width="11.453125" style="204" customWidth="1"/>
    <col min="19" max="19" width="9.453125" style="210" customWidth="1"/>
    <col min="20" max="20" width="8.54296875" style="187" customWidth="1"/>
    <col min="21" max="21" width="0.453125" style="187" customWidth="1"/>
    <col min="22" max="22" width="8.54296875" style="187" customWidth="1"/>
    <col min="23" max="23" width="10" style="187" customWidth="1"/>
    <col min="24" max="24" width="9.54296875" style="187" customWidth="1"/>
    <col min="25" max="25" width="9.453125" style="187" customWidth="1"/>
    <col min="26" max="26" width="8.453125" style="187" customWidth="1"/>
    <col min="27" max="27" width="0.1796875" style="230" customWidth="1"/>
    <col min="28" max="28" width="10.54296875" style="187" customWidth="1"/>
    <col min="29" max="29" width="9.453125" style="187" customWidth="1"/>
    <col min="30" max="30" width="8.453125" style="187" customWidth="1"/>
    <col min="31" max="31" width="10" style="187" bestFit="1" customWidth="1"/>
    <col min="32" max="32" width="10.54296875" style="187" bestFit="1" customWidth="1"/>
    <col min="33" max="33" width="10.54296875" style="187" customWidth="1"/>
    <col min="34" max="34" width="9.453125" style="187"/>
    <col min="35" max="35" width="8.453125" style="187" customWidth="1"/>
    <col min="36" max="36" width="10" style="187" bestFit="1" customWidth="1"/>
    <col min="37" max="37" width="9.453125" style="187"/>
    <col min="38" max="38" width="10.54296875" style="187" customWidth="1"/>
    <col min="39" max="40" width="9.453125" style="187"/>
    <col min="41" max="41" width="11.453125" style="187" bestFit="1" customWidth="1"/>
    <col min="42" max="42" width="9.453125" style="187"/>
    <col min="43" max="43" width="10.54296875" style="187" customWidth="1"/>
    <col min="44" max="45" width="9.453125" style="187"/>
    <col min="46" max="46" width="11.453125" style="187" bestFit="1" customWidth="1"/>
    <col min="47" max="47" width="9.453125" style="187"/>
    <col min="48" max="48" width="11.453125" style="187" customWidth="1"/>
    <col min="49" max="16384" width="8.54296875" style="187"/>
  </cols>
  <sheetData>
    <row r="1" spans="1:50" s="186" customFormat="1" ht="50.25" customHeight="1">
      <c r="A1" s="177"/>
      <c r="B1" s="178" t="s">
        <v>17</v>
      </c>
      <c r="C1" s="179"/>
      <c r="D1" s="190"/>
      <c r="E1" s="172"/>
      <c r="F1" s="240"/>
      <c r="G1" s="172"/>
      <c r="H1" s="180"/>
      <c r="I1" s="181"/>
      <c r="J1" s="172"/>
      <c r="K1" s="182"/>
      <c r="L1" s="256"/>
      <c r="M1" s="236"/>
      <c r="N1" s="183"/>
      <c r="O1" s="184"/>
      <c r="P1" s="244"/>
      <c r="Q1" s="251"/>
      <c r="R1" s="185"/>
      <c r="U1" s="187"/>
      <c r="AA1" s="371"/>
    </row>
    <row r="2" spans="1:50" s="193" customFormat="1" ht="48" customHeight="1" thickBot="1">
      <c r="A2" s="188"/>
      <c r="B2" s="188"/>
      <c r="C2" s="173"/>
      <c r="D2" s="190"/>
      <c r="E2" s="173"/>
      <c r="F2" s="241"/>
      <c r="G2" s="173"/>
      <c r="H2" s="189"/>
      <c r="I2" s="190"/>
      <c r="J2" s="173"/>
      <c r="K2" s="233"/>
      <c r="L2" s="190"/>
      <c r="M2" s="236"/>
      <c r="N2" s="188"/>
      <c r="O2" s="184"/>
      <c r="P2" s="245"/>
      <c r="Q2" s="251"/>
      <c r="R2" s="188"/>
      <c r="S2" s="191"/>
      <c r="T2" s="192"/>
      <c r="V2" s="194"/>
      <c r="W2" s="195"/>
      <c r="X2" s="195"/>
      <c r="Y2" s="195"/>
      <c r="Z2" s="196"/>
      <c r="AA2" s="372"/>
      <c r="AB2" s="195"/>
      <c r="AC2" s="195"/>
      <c r="AD2" s="195"/>
      <c r="AE2" s="196"/>
      <c r="AF2" s="195"/>
      <c r="AG2" s="195"/>
      <c r="AH2" s="195"/>
      <c r="AI2" s="195"/>
      <c r="AJ2" s="196"/>
      <c r="AK2" s="195"/>
      <c r="AL2" s="195"/>
      <c r="AM2" s="195"/>
      <c r="AN2" s="195"/>
      <c r="AO2" s="197"/>
      <c r="AT2" s="197"/>
    </row>
    <row r="3" spans="1:50" s="370" customFormat="1" ht="22.5" customHeight="1">
      <c r="A3" s="198" t="s">
        <v>14</v>
      </c>
      <c r="B3" s="199" t="s">
        <v>8</v>
      </c>
      <c r="C3" s="359" t="s">
        <v>9</v>
      </c>
      <c r="D3" s="201" t="s">
        <v>10</v>
      </c>
      <c r="E3" s="359" t="s">
        <v>226</v>
      </c>
      <c r="F3" s="359" t="s">
        <v>70</v>
      </c>
      <c r="G3" s="359" t="s">
        <v>64</v>
      </c>
      <c r="H3" s="200" t="s">
        <v>18</v>
      </c>
      <c r="I3" s="201" t="s">
        <v>291</v>
      </c>
      <c r="J3" s="359" t="s">
        <v>12</v>
      </c>
      <c r="K3" s="234" t="s">
        <v>19</v>
      </c>
      <c r="L3" s="201" t="s">
        <v>20</v>
      </c>
      <c r="M3" s="263" t="s">
        <v>230</v>
      </c>
      <c r="N3" s="199" t="s">
        <v>10</v>
      </c>
      <c r="O3" s="202" t="s">
        <v>13</v>
      </c>
      <c r="P3" s="246" t="s">
        <v>21</v>
      </c>
      <c r="Q3" s="252" t="s">
        <v>22</v>
      </c>
      <c r="R3" s="203" t="s">
        <v>34</v>
      </c>
      <c r="S3" s="360"/>
      <c r="T3" s="361"/>
      <c r="U3" s="362"/>
      <c r="V3" s="363"/>
      <c r="W3" s="363"/>
      <c r="X3" s="363"/>
      <c r="Y3" s="363"/>
      <c r="Z3" s="364"/>
      <c r="AA3" s="358" t="s">
        <v>590</v>
      </c>
      <c r="AB3" s="365"/>
      <c r="AC3" s="366"/>
      <c r="AD3" s="366"/>
      <c r="AE3" s="367"/>
      <c r="AF3" s="366"/>
      <c r="AG3" s="366"/>
      <c r="AH3" s="366"/>
      <c r="AI3" s="366"/>
      <c r="AJ3" s="367"/>
      <c r="AK3" s="366"/>
      <c r="AL3" s="366"/>
      <c r="AM3" s="366"/>
      <c r="AN3" s="366"/>
      <c r="AO3" s="367"/>
      <c r="AP3" s="366"/>
      <c r="AQ3" s="366"/>
      <c r="AR3" s="366"/>
      <c r="AS3" s="366"/>
      <c r="AT3" s="368"/>
      <c r="AU3" s="369"/>
      <c r="AV3" s="369"/>
      <c r="AW3" s="369"/>
      <c r="AX3" s="369"/>
    </row>
    <row r="4" spans="1:50" ht="18" customHeight="1">
      <c r="A4" s="204">
        <v>38123</v>
      </c>
      <c r="B4" s="229">
        <v>70586</v>
      </c>
      <c r="C4" s="175" t="s">
        <v>104</v>
      </c>
      <c r="D4" s="207">
        <v>1</v>
      </c>
      <c r="E4" s="379" t="s">
        <v>223</v>
      </c>
      <c r="F4" s="243">
        <v>1</v>
      </c>
      <c r="G4" s="175" t="s">
        <v>222</v>
      </c>
      <c r="H4" s="206">
        <v>45300</v>
      </c>
      <c r="I4" s="207">
        <v>21</v>
      </c>
      <c r="J4" s="175" t="s">
        <v>224</v>
      </c>
      <c r="K4" s="235">
        <v>1188</v>
      </c>
      <c r="L4" s="327" t="s">
        <v>526</v>
      </c>
      <c r="M4" s="228"/>
      <c r="P4" s="248">
        <v>45322</v>
      </c>
      <c r="R4" s="209" t="str">
        <f t="shared" ref="R4:R67" si="0">IF(SUM(Q4)&gt;0,SUM(Q4-P4),"")</f>
        <v/>
      </c>
      <c r="S4" s="187"/>
      <c r="AA4" s="230">
        <v>1004</v>
      </c>
    </row>
    <row r="5" spans="1:50" ht="18" customHeight="1">
      <c r="R5" s="209" t="str">
        <f t="shared" si="0"/>
        <v/>
      </c>
      <c r="S5" s="187"/>
      <c r="AA5" s="230">
        <v>1005</v>
      </c>
    </row>
    <row r="6" spans="1:50" ht="18" customHeight="1">
      <c r="A6" s="230">
        <v>38502</v>
      </c>
      <c r="B6" s="231">
        <v>71374</v>
      </c>
      <c r="C6" s="187" t="s">
        <v>33</v>
      </c>
      <c r="D6" s="230">
        <v>3</v>
      </c>
      <c r="E6" s="232" t="s">
        <v>227</v>
      </c>
      <c r="F6" s="230"/>
      <c r="G6" s="266" t="s">
        <v>187</v>
      </c>
      <c r="H6" s="250">
        <v>45568</v>
      </c>
      <c r="I6" s="207">
        <v>1</v>
      </c>
      <c r="J6" s="187" t="s">
        <v>232</v>
      </c>
      <c r="K6" s="235">
        <v>675</v>
      </c>
      <c r="L6" s="207">
        <v>20030822</v>
      </c>
      <c r="M6" s="237"/>
      <c r="N6" s="207"/>
      <c r="O6" s="239"/>
      <c r="P6" s="249">
        <v>45590</v>
      </c>
      <c r="Q6" s="254"/>
      <c r="R6" s="209" t="str">
        <f t="shared" si="0"/>
        <v/>
      </c>
      <c r="S6" s="187"/>
    </row>
    <row r="7" spans="1:50" ht="18" customHeight="1">
      <c r="A7" s="230">
        <v>38502</v>
      </c>
      <c r="B7" s="231">
        <v>71375</v>
      </c>
      <c r="C7" s="187" t="s">
        <v>33</v>
      </c>
      <c r="D7" s="230">
        <v>3</v>
      </c>
      <c r="E7" s="232" t="s">
        <v>233</v>
      </c>
      <c r="F7" s="230" t="s">
        <v>234</v>
      </c>
      <c r="G7" s="266" t="s">
        <v>187</v>
      </c>
      <c r="H7" s="250">
        <v>45568</v>
      </c>
      <c r="I7" s="207">
        <v>2</v>
      </c>
      <c r="J7" s="187" t="s">
        <v>235</v>
      </c>
      <c r="K7" s="235">
        <v>1250</v>
      </c>
      <c r="L7" s="207">
        <v>20030822</v>
      </c>
      <c r="M7" s="237"/>
      <c r="N7" s="207"/>
      <c r="O7" s="239"/>
      <c r="P7" s="249">
        <v>45590</v>
      </c>
      <c r="Q7" s="254"/>
      <c r="R7" s="209" t="str">
        <f t="shared" si="0"/>
        <v/>
      </c>
      <c r="S7" s="187"/>
      <c r="AA7" s="230">
        <v>1007</v>
      </c>
    </row>
    <row r="8" spans="1:50" ht="18" customHeight="1">
      <c r="A8" s="230"/>
      <c r="B8" s="231"/>
      <c r="C8" s="187"/>
      <c r="D8" s="230"/>
      <c r="E8" s="232"/>
      <c r="F8" s="230"/>
      <c r="G8" s="187"/>
      <c r="H8" s="250"/>
      <c r="J8" s="187"/>
      <c r="M8" s="237"/>
      <c r="N8" s="207"/>
      <c r="O8" s="239"/>
      <c r="P8" s="249"/>
      <c r="Q8" s="254"/>
      <c r="R8" s="209" t="str">
        <f t="shared" si="0"/>
        <v/>
      </c>
      <c r="S8" s="187"/>
    </row>
    <row r="9" spans="1:50" ht="18" customHeight="1">
      <c r="A9" s="230">
        <v>38539</v>
      </c>
      <c r="B9" s="231">
        <v>71480</v>
      </c>
      <c r="C9" s="187" t="s">
        <v>104</v>
      </c>
      <c r="D9" s="230">
        <v>5</v>
      </c>
      <c r="E9" s="238" t="s">
        <v>241</v>
      </c>
      <c r="F9" s="230">
        <v>0</v>
      </c>
      <c r="G9" s="187" t="s">
        <v>239</v>
      </c>
      <c r="H9" s="250">
        <v>45593</v>
      </c>
      <c r="I9" s="207">
        <v>1</v>
      </c>
      <c r="J9" s="187" t="s">
        <v>240</v>
      </c>
      <c r="K9" s="235">
        <v>700</v>
      </c>
      <c r="L9" s="264" t="s">
        <v>519</v>
      </c>
      <c r="M9" s="237"/>
      <c r="N9" s="207"/>
      <c r="O9" s="239"/>
      <c r="P9" s="249">
        <v>45607</v>
      </c>
      <c r="Q9" s="254"/>
      <c r="R9" s="209" t="str">
        <f t="shared" si="0"/>
        <v/>
      </c>
      <c r="S9" s="187"/>
      <c r="AA9" s="230">
        <v>1009</v>
      </c>
    </row>
    <row r="10" spans="1:50" ht="18" customHeight="1">
      <c r="A10" s="230"/>
      <c r="B10" s="231"/>
      <c r="C10" s="187"/>
      <c r="D10" s="230"/>
      <c r="E10" s="232"/>
      <c r="F10" s="230"/>
      <c r="G10" s="187"/>
      <c r="H10" s="250"/>
      <c r="J10" s="187"/>
      <c r="M10" s="237"/>
      <c r="N10" s="207"/>
      <c r="O10" s="239"/>
      <c r="P10" s="249"/>
      <c r="Q10" s="254"/>
      <c r="R10" s="209" t="str">
        <f t="shared" si="0"/>
        <v/>
      </c>
      <c r="S10" s="187"/>
    </row>
    <row r="11" spans="1:50" ht="18" customHeight="1">
      <c r="A11" s="230">
        <v>38636</v>
      </c>
      <c r="B11" s="231">
        <v>71718</v>
      </c>
      <c r="C11" s="187" t="s">
        <v>33</v>
      </c>
      <c r="D11" s="230">
        <v>31500</v>
      </c>
      <c r="E11" s="232" t="s">
        <v>45</v>
      </c>
      <c r="F11" s="230"/>
      <c r="G11" s="187" t="s">
        <v>242</v>
      </c>
      <c r="H11" s="250">
        <v>45636</v>
      </c>
      <c r="I11" s="207">
        <v>2</v>
      </c>
      <c r="J11" s="187" t="s">
        <v>246</v>
      </c>
      <c r="K11" s="235">
        <v>3.44</v>
      </c>
      <c r="L11" s="207" t="s">
        <v>245</v>
      </c>
      <c r="M11" s="237"/>
      <c r="N11" s="207"/>
      <c r="O11" s="239"/>
      <c r="P11" s="249">
        <v>45992</v>
      </c>
      <c r="Q11" s="254"/>
      <c r="R11" s="209" t="str">
        <f t="shared" si="0"/>
        <v/>
      </c>
      <c r="S11" s="187"/>
      <c r="AA11" s="230">
        <v>1010</v>
      </c>
    </row>
    <row r="12" spans="1:50" ht="18" customHeight="1">
      <c r="A12" s="230"/>
      <c r="B12" s="231"/>
      <c r="C12" s="187"/>
      <c r="D12" s="230"/>
      <c r="E12" s="232"/>
      <c r="F12" s="230"/>
      <c r="G12" s="187"/>
      <c r="H12" s="250"/>
      <c r="J12" s="187"/>
      <c r="M12" s="237"/>
      <c r="N12" s="207"/>
      <c r="O12" s="239"/>
      <c r="P12" s="249"/>
      <c r="Q12" s="254"/>
      <c r="R12" s="209" t="str">
        <f t="shared" si="0"/>
        <v/>
      </c>
      <c r="S12" s="187"/>
    </row>
    <row r="13" spans="1:50" ht="18" customHeight="1">
      <c r="A13" s="285">
        <v>38672</v>
      </c>
      <c r="B13" s="286">
        <v>71851</v>
      </c>
      <c r="C13" s="287" t="s">
        <v>41</v>
      </c>
      <c r="D13" s="285">
        <v>2</v>
      </c>
      <c r="E13" s="378" t="s">
        <v>248</v>
      </c>
      <c r="F13" s="285">
        <v>0</v>
      </c>
      <c r="G13" s="287" t="s">
        <v>231</v>
      </c>
      <c r="H13" s="289">
        <v>45656</v>
      </c>
      <c r="I13" s="290">
        <v>1</v>
      </c>
      <c r="J13" s="287" t="s">
        <v>249</v>
      </c>
      <c r="K13" s="291">
        <v>141549.74</v>
      </c>
      <c r="L13" s="290" t="s">
        <v>292</v>
      </c>
      <c r="M13" s="292"/>
      <c r="N13" s="290"/>
      <c r="O13" s="293"/>
      <c r="P13" s="294">
        <v>45842</v>
      </c>
      <c r="Q13" s="295"/>
      <c r="R13" s="209" t="str">
        <f t="shared" si="0"/>
        <v/>
      </c>
      <c r="S13" s="187"/>
    </row>
    <row r="14" spans="1:50" ht="18" customHeight="1">
      <c r="A14" s="285">
        <v>38672</v>
      </c>
      <c r="B14" s="286">
        <v>71873</v>
      </c>
      <c r="C14" s="287" t="s">
        <v>41</v>
      </c>
      <c r="D14" s="285" t="s">
        <v>253</v>
      </c>
      <c r="E14" s="288" t="s">
        <v>254</v>
      </c>
      <c r="F14" s="285"/>
      <c r="G14" s="287" t="s">
        <v>255</v>
      </c>
      <c r="H14" s="289" t="s">
        <v>256</v>
      </c>
      <c r="I14" s="290">
        <v>2</v>
      </c>
      <c r="J14" s="287" t="s">
        <v>257</v>
      </c>
      <c r="K14" s="291" t="s">
        <v>258</v>
      </c>
      <c r="L14" s="290" t="s">
        <v>292</v>
      </c>
      <c r="M14" s="292"/>
      <c r="N14" s="290"/>
      <c r="O14" s="293"/>
      <c r="P14" s="294">
        <v>45842</v>
      </c>
      <c r="Q14" s="295"/>
      <c r="R14" s="209" t="str">
        <f t="shared" si="0"/>
        <v/>
      </c>
      <c r="S14" s="187"/>
      <c r="AA14" s="230">
        <v>1015</v>
      </c>
    </row>
    <row r="15" spans="1:50" ht="18" customHeight="1">
      <c r="A15" s="274">
        <v>38672</v>
      </c>
      <c r="B15" s="311">
        <v>72330</v>
      </c>
      <c r="C15" s="287" t="s">
        <v>41</v>
      </c>
      <c r="D15" s="315" t="s">
        <v>304</v>
      </c>
      <c r="E15" s="378" t="s">
        <v>302</v>
      </c>
      <c r="F15" s="285"/>
      <c r="G15" s="313" t="s">
        <v>255</v>
      </c>
      <c r="H15" s="289">
        <v>45771</v>
      </c>
      <c r="I15" s="290">
        <v>5</v>
      </c>
      <c r="J15" s="287" t="s">
        <v>301</v>
      </c>
      <c r="K15" s="291">
        <v>1950</v>
      </c>
      <c r="L15" s="314" t="s">
        <v>325</v>
      </c>
      <c r="M15" s="280"/>
      <c r="N15" s="278"/>
      <c r="O15" s="281"/>
      <c r="P15" s="294">
        <v>45859</v>
      </c>
      <c r="Q15" s="295"/>
      <c r="R15" s="209" t="str">
        <f t="shared" si="0"/>
        <v/>
      </c>
      <c r="S15" s="187"/>
    </row>
    <row r="16" spans="1:50" ht="18" customHeight="1">
      <c r="A16" s="230"/>
      <c r="B16" s="231"/>
      <c r="C16" s="187"/>
      <c r="D16" s="230"/>
      <c r="E16" s="232"/>
      <c r="F16" s="230"/>
      <c r="G16" s="187"/>
      <c r="H16" s="250"/>
      <c r="J16" s="187"/>
      <c r="M16" s="237"/>
      <c r="N16" s="207"/>
      <c r="O16" s="239"/>
      <c r="P16" s="249"/>
      <c r="Q16" s="254"/>
      <c r="R16" s="209" t="str">
        <f t="shared" si="0"/>
        <v/>
      </c>
      <c r="S16" s="187"/>
      <c r="AA16" s="230">
        <v>1019</v>
      </c>
    </row>
    <row r="17" spans="1:27" ht="18" customHeight="1">
      <c r="A17" s="285">
        <v>38740</v>
      </c>
      <c r="B17" s="286">
        <v>72023</v>
      </c>
      <c r="C17" s="287" t="s">
        <v>41</v>
      </c>
      <c r="D17" s="285">
        <v>2</v>
      </c>
      <c r="E17" s="378" t="s">
        <v>248</v>
      </c>
      <c r="F17" s="285">
        <v>0</v>
      </c>
      <c r="G17" s="296" t="s">
        <v>260</v>
      </c>
      <c r="H17" s="289">
        <v>45699</v>
      </c>
      <c r="I17" s="290">
        <v>1</v>
      </c>
      <c r="J17" s="287" t="s">
        <v>249</v>
      </c>
      <c r="K17" s="291">
        <v>141549.74</v>
      </c>
      <c r="L17" s="357" t="s">
        <v>588</v>
      </c>
      <c r="M17" s="292"/>
      <c r="N17" s="290"/>
      <c r="O17" s="293"/>
      <c r="P17" s="318">
        <v>45919</v>
      </c>
      <c r="Q17" s="254"/>
      <c r="R17" s="209" t="str">
        <f t="shared" si="0"/>
        <v/>
      </c>
      <c r="S17" s="187"/>
    </row>
    <row r="18" spans="1:27" ht="18" customHeight="1">
      <c r="A18" s="285">
        <v>38740</v>
      </c>
      <c r="B18" s="286">
        <v>72024</v>
      </c>
      <c r="C18" s="287" t="s">
        <v>41</v>
      </c>
      <c r="D18" s="285" t="s">
        <v>253</v>
      </c>
      <c r="E18" s="288" t="s">
        <v>254</v>
      </c>
      <c r="F18" s="285"/>
      <c r="G18" s="296" t="s">
        <v>260</v>
      </c>
      <c r="H18" s="289" t="s">
        <v>261</v>
      </c>
      <c r="I18" s="290">
        <v>2</v>
      </c>
      <c r="J18" s="287" t="s">
        <v>257</v>
      </c>
      <c r="K18" s="291" t="s">
        <v>258</v>
      </c>
      <c r="L18" s="357" t="s">
        <v>588</v>
      </c>
      <c r="M18" s="292"/>
      <c r="N18" s="290"/>
      <c r="O18" s="293"/>
      <c r="P18" s="318">
        <v>45919</v>
      </c>
      <c r="Q18" s="254"/>
      <c r="R18" s="209" t="str">
        <f t="shared" si="0"/>
        <v/>
      </c>
      <c r="S18" s="187"/>
      <c r="AA18" s="230">
        <v>1028</v>
      </c>
    </row>
    <row r="19" spans="1:27" ht="18" customHeight="1">
      <c r="A19" s="285">
        <v>38740</v>
      </c>
      <c r="B19" s="311">
        <v>72331</v>
      </c>
      <c r="C19" s="287" t="s">
        <v>41</v>
      </c>
      <c r="D19" s="315" t="s">
        <v>335</v>
      </c>
      <c r="E19" s="378" t="s">
        <v>302</v>
      </c>
      <c r="F19" s="285"/>
      <c r="G19" s="313" t="s">
        <v>255</v>
      </c>
      <c r="H19" s="289">
        <v>45771</v>
      </c>
      <c r="I19" s="290">
        <v>5</v>
      </c>
      <c r="J19" s="287" t="s">
        <v>303</v>
      </c>
      <c r="K19" s="291">
        <v>1950</v>
      </c>
      <c r="L19" s="357" t="s">
        <v>588</v>
      </c>
      <c r="M19" s="280"/>
      <c r="N19" s="278"/>
      <c r="O19" s="281"/>
      <c r="P19" s="318">
        <v>45919</v>
      </c>
      <c r="Q19" s="254"/>
      <c r="R19" s="209" t="str">
        <f t="shared" si="0"/>
        <v/>
      </c>
      <c r="S19" s="187"/>
    </row>
    <row r="20" spans="1:27" ht="18" customHeight="1">
      <c r="A20" s="230"/>
      <c r="B20" s="231"/>
      <c r="C20" s="187"/>
      <c r="D20" s="230"/>
      <c r="E20" s="232"/>
      <c r="F20" s="230"/>
      <c r="G20" s="187"/>
      <c r="H20" s="250"/>
      <c r="J20" s="187"/>
      <c r="M20" s="237"/>
      <c r="N20" s="207"/>
      <c r="O20" s="239"/>
      <c r="P20" s="249"/>
      <c r="Q20" s="254"/>
      <c r="R20" s="209" t="str">
        <f t="shared" si="0"/>
        <v/>
      </c>
      <c r="S20" s="187"/>
      <c r="AA20" s="230">
        <v>1029</v>
      </c>
    </row>
    <row r="21" spans="1:27" ht="18" customHeight="1">
      <c r="A21" s="230">
        <v>38744</v>
      </c>
      <c r="B21" s="231">
        <v>72028</v>
      </c>
      <c r="C21" s="187" t="s">
        <v>0</v>
      </c>
      <c r="D21" s="230">
        <v>1</v>
      </c>
      <c r="E21" s="232" t="s">
        <v>259</v>
      </c>
      <c r="F21" s="230"/>
      <c r="G21" s="187" t="s">
        <v>262</v>
      </c>
      <c r="H21" s="250">
        <v>45703</v>
      </c>
      <c r="I21" s="207">
        <v>1</v>
      </c>
      <c r="J21" s="187" t="s">
        <v>263</v>
      </c>
      <c r="L21" s="207" t="s">
        <v>264</v>
      </c>
      <c r="M21" s="237"/>
      <c r="N21" s="207"/>
      <c r="O21" s="239"/>
      <c r="P21" s="249">
        <v>45709</v>
      </c>
      <c r="Q21" s="254"/>
      <c r="R21" s="209" t="str">
        <f t="shared" si="0"/>
        <v/>
      </c>
      <c r="S21" s="187"/>
    </row>
    <row r="22" spans="1:27" ht="18" customHeight="1">
      <c r="A22" s="230"/>
      <c r="B22" s="231"/>
      <c r="C22" s="187"/>
      <c r="D22" s="230"/>
      <c r="E22" s="232"/>
      <c r="F22" s="230"/>
      <c r="G22" s="187"/>
      <c r="H22" s="250"/>
      <c r="J22" s="187"/>
      <c r="M22" s="237"/>
      <c r="N22" s="207"/>
      <c r="O22" s="239"/>
      <c r="P22" s="249"/>
      <c r="Q22" s="254"/>
      <c r="R22" s="209" t="str">
        <f t="shared" si="0"/>
        <v/>
      </c>
      <c r="S22" s="187"/>
    </row>
    <row r="23" spans="1:27" ht="18" customHeight="1">
      <c r="A23" s="297" t="s">
        <v>266</v>
      </c>
      <c r="B23" s="231">
        <v>72113</v>
      </c>
      <c r="C23" s="187" t="s">
        <v>267</v>
      </c>
      <c r="D23" s="230">
        <v>1</v>
      </c>
      <c r="E23" s="232" t="s">
        <v>268</v>
      </c>
      <c r="F23" s="230"/>
      <c r="G23" s="187" t="s">
        <v>269</v>
      </c>
      <c r="H23" s="250">
        <v>45712</v>
      </c>
      <c r="I23" s="207">
        <v>1</v>
      </c>
      <c r="J23" s="187" t="s">
        <v>270</v>
      </c>
      <c r="L23" s="207" t="s">
        <v>271</v>
      </c>
      <c r="M23" s="237"/>
      <c r="N23" s="207"/>
      <c r="O23" s="239"/>
      <c r="P23" s="249">
        <v>45713</v>
      </c>
      <c r="Q23" s="254"/>
      <c r="R23" s="209" t="str">
        <f t="shared" si="0"/>
        <v/>
      </c>
      <c r="S23" s="187"/>
      <c r="AA23" s="230">
        <v>1033</v>
      </c>
    </row>
    <row r="24" spans="1:27" ht="18" customHeight="1">
      <c r="A24" s="297" t="s">
        <v>266</v>
      </c>
      <c r="B24" s="231">
        <v>72113</v>
      </c>
      <c r="C24" s="187" t="s">
        <v>267</v>
      </c>
      <c r="D24" s="230">
        <v>1</v>
      </c>
      <c r="E24" s="232" t="s">
        <v>268</v>
      </c>
      <c r="F24" s="230"/>
      <c r="G24" s="187" t="s">
        <v>269</v>
      </c>
      <c r="H24" s="250">
        <v>45779</v>
      </c>
      <c r="I24" s="207">
        <v>2</v>
      </c>
      <c r="J24" s="187" t="s">
        <v>310</v>
      </c>
      <c r="L24" s="207" t="s">
        <v>271</v>
      </c>
      <c r="M24" s="237"/>
      <c r="N24" s="207"/>
      <c r="O24" s="239"/>
      <c r="P24" s="249">
        <v>45786</v>
      </c>
      <c r="Q24" s="254"/>
      <c r="R24" s="209" t="str">
        <f t="shared" si="0"/>
        <v/>
      </c>
      <c r="S24" s="187"/>
    </row>
    <row r="25" spans="1:27" ht="18" customHeight="1">
      <c r="A25" s="297" t="s">
        <v>266</v>
      </c>
      <c r="B25" s="231">
        <v>72113</v>
      </c>
      <c r="C25" s="187" t="s">
        <v>267</v>
      </c>
      <c r="D25" s="230">
        <v>1</v>
      </c>
      <c r="E25" s="232" t="s">
        <v>268</v>
      </c>
      <c r="F25" s="230"/>
      <c r="G25" s="187" t="s">
        <v>269</v>
      </c>
      <c r="H25" s="250">
        <v>45780</v>
      </c>
      <c r="I25" s="207">
        <v>3</v>
      </c>
      <c r="J25" s="187" t="s">
        <v>311</v>
      </c>
      <c r="L25" s="207" t="s">
        <v>271</v>
      </c>
      <c r="M25" s="237"/>
      <c r="N25" s="207"/>
      <c r="O25" s="239"/>
      <c r="P25" s="249">
        <v>45786</v>
      </c>
      <c r="Q25" s="254"/>
      <c r="R25" s="209" t="str">
        <f t="shared" si="0"/>
        <v/>
      </c>
      <c r="S25" s="187"/>
      <c r="AA25" s="230">
        <v>1048</v>
      </c>
    </row>
    <row r="26" spans="1:27" ht="18" customHeight="1">
      <c r="A26" s="297" t="s">
        <v>266</v>
      </c>
      <c r="B26" s="231">
        <v>72113</v>
      </c>
      <c r="C26" s="187" t="s">
        <v>267</v>
      </c>
      <c r="D26" s="230">
        <v>1</v>
      </c>
      <c r="E26" s="232" t="s">
        <v>268</v>
      </c>
      <c r="F26" s="230"/>
      <c r="G26" s="187" t="s">
        <v>269</v>
      </c>
      <c r="H26" s="250">
        <v>45781</v>
      </c>
      <c r="I26" s="207">
        <v>4</v>
      </c>
      <c r="J26" s="187" t="s">
        <v>312</v>
      </c>
      <c r="L26" s="207" t="s">
        <v>271</v>
      </c>
      <c r="M26" s="237"/>
      <c r="N26" s="207"/>
      <c r="O26" s="239"/>
      <c r="P26" s="249">
        <v>45786</v>
      </c>
      <c r="Q26" s="254"/>
      <c r="R26" s="209" t="str">
        <f t="shared" si="0"/>
        <v/>
      </c>
      <c r="S26" s="187"/>
      <c r="AA26" s="230">
        <v>1049</v>
      </c>
    </row>
    <row r="27" spans="1:27" ht="18" customHeight="1">
      <c r="A27" s="297" t="s">
        <v>266</v>
      </c>
      <c r="B27" s="231">
        <v>72113</v>
      </c>
      <c r="C27" s="187" t="s">
        <v>267</v>
      </c>
      <c r="D27" s="230">
        <v>1</v>
      </c>
      <c r="E27" s="232" t="s">
        <v>268</v>
      </c>
      <c r="F27" s="230"/>
      <c r="G27" s="187" t="s">
        <v>269</v>
      </c>
      <c r="H27" s="250">
        <v>45782</v>
      </c>
      <c r="I27" s="207">
        <v>5</v>
      </c>
      <c r="J27" s="187" t="s">
        <v>313</v>
      </c>
      <c r="L27" s="207" t="s">
        <v>271</v>
      </c>
      <c r="M27" s="237"/>
      <c r="N27" s="207"/>
      <c r="O27" s="239"/>
      <c r="P27" s="249">
        <v>45786</v>
      </c>
      <c r="Q27" s="254"/>
      <c r="R27" s="209" t="str">
        <f t="shared" si="0"/>
        <v/>
      </c>
      <c r="S27" s="187"/>
      <c r="AA27" s="230">
        <v>1050</v>
      </c>
    </row>
    <row r="28" spans="1:27" ht="18" customHeight="1">
      <c r="A28" s="297" t="s">
        <v>266</v>
      </c>
      <c r="B28" s="231">
        <v>72113</v>
      </c>
      <c r="C28" s="187" t="s">
        <v>267</v>
      </c>
      <c r="D28" s="230">
        <v>1</v>
      </c>
      <c r="E28" s="232" t="s">
        <v>314</v>
      </c>
      <c r="F28" s="230"/>
      <c r="G28" s="187" t="s">
        <v>269</v>
      </c>
      <c r="H28" s="250">
        <v>45783</v>
      </c>
      <c r="I28" s="207">
        <v>6</v>
      </c>
      <c r="J28" s="187" t="s">
        <v>315</v>
      </c>
      <c r="L28" s="207" t="s">
        <v>271</v>
      </c>
      <c r="M28" s="237"/>
      <c r="N28" s="207"/>
      <c r="O28" s="239"/>
      <c r="P28" s="249">
        <v>45786</v>
      </c>
      <c r="Q28" s="254"/>
      <c r="R28" s="209" t="str">
        <f t="shared" si="0"/>
        <v/>
      </c>
      <c r="S28" s="187"/>
      <c r="AA28" s="230">
        <v>1052</v>
      </c>
    </row>
    <row r="29" spans="1:27" ht="18" customHeight="1">
      <c r="A29" s="230"/>
      <c r="B29" s="231"/>
      <c r="C29" s="187"/>
      <c r="D29" s="230"/>
      <c r="E29" s="232"/>
      <c r="F29" s="230"/>
      <c r="G29" s="187"/>
      <c r="H29" s="250"/>
      <c r="J29" s="187"/>
      <c r="M29" s="237"/>
      <c r="N29" s="207"/>
      <c r="O29" s="239"/>
      <c r="P29" s="249"/>
      <c r="Q29" s="254"/>
      <c r="R29" s="209" t="str">
        <f t="shared" si="0"/>
        <v/>
      </c>
      <c r="S29" s="187"/>
    </row>
    <row r="30" spans="1:27" ht="18" customHeight="1">
      <c r="A30" s="298">
        <v>38785</v>
      </c>
      <c r="B30" s="299">
        <v>72139</v>
      </c>
      <c r="C30" s="300" t="s">
        <v>41</v>
      </c>
      <c r="D30" s="298">
        <v>1</v>
      </c>
      <c r="E30" s="377" t="s">
        <v>272</v>
      </c>
      <c r="F30" s="298"/>
      <c r="G30" s="310" t="s">
        <v>265</v>
      </c>
      <c r="H30" s="301">
        <v>45720</v>
      </c>
      <c r="I30" s="302">
        <v>1</v>
      </c>
      <c r="J30" s="300" t="s">
        <v>281</v>
      </c>
      <c r="K30" s="303">
        <v>39444.42</v>
      </c>
      <c r="L30" s="343" t="s">
        <v>539</v>
      </c>
      <c r="M30" s="305"/>
      <c r="N30" s="302"/>
      <c r="O30" s="306"/>
      <c r="P30" s="307">
        <v>45985</v>
      </c>
      <c r="Q30" s="308"/>
      <c r="R30" s="209" t="str">
        <f t="shared" si="0"/>
        <v/>
      </c>
      <c r="S30" s="187"/>
      <c r="AA30" s="230">
        <v>1065</v>
      </c>
    </row>
    <row r="31" spans="1:27" ht="18" customHeight="1">
      <c r="A31" s="298">
        <v>38785</v>
      </c>
      <c r="B31" s="299">
        <v>72140</v>
      </c>
      <c r="C31" s="300" t="s">
        <v>41</v>
      </c>
      <c r="D31" s="298">
        <v>1</v>
      </c>
      <c r="E31" s="377" t="s">
        <v>273</v>
      </c>
      <c r="F31" s="298"/>
      <c r="G31" s="310" t="s">
        <v>265</v>
      </c>
      <c r="H31" s="301">
        <v>45720</v>
      </c>
      <c r="I31" s="302">
        <v>2</v>
      </c>
      <c r="J31" s="300" t="s">
        <v>282</v>
      </c>
      <c r="K31" s="303">
        <v>38305.699999999997</v>
      </c>
      <c r="L31" s="343" t="s">
        <v>539</v>
      </c>
      <c r="M31" s="305"/>
      <c r="N31" s="302"/>
      <c r="O31" s="306"/>
      <c r="P31" s="307">
        <v>45985</v>
      </c>
      <c r="Q31" s="308"/>
      <c r="R31" s="209" t="str">
        <f t="shared" si="0"/>
        <v/>
      </c>
      <c r="S31" s="187"/>
      <c r="AA31" s="230">
        <v>1067</v>
      </c>
    </row>
    <row r="32" spans="1:27" ht="18" customHeight="1">
      <c r="A32" s="298">
        <v>38785</v>
      </c>
      <c r="B32" s="387">
        <v>72141</v>
      </c>
      <c r="C32" s="300" t="s">
        <v>41</v>
      </c>
      <c r="D32" s="298">
        <v>1</v>
      </c>
      <c r="E32" s="377" t="s">
        <v>274</v>
      </c>
      <c r="F32" s="298"/>
      <c r="G32" s="310" t="s">
        <v>265</v>
      </c>
      <c r="H32" s="301">
        <v>45720</v>
      </c>
      <c r="I32" s="302">
        <v>3</v>
      </c>
      <c r="J32" s="300" t="s">
        <v>283</v>
      </c>
      <c r="K32" s="303">
        <v>39684.129999999997</v>
      </c>
      <c r="L32" s="343" t="s">
        <v>539</v>
      </c>
      <c r="M32" s="305"/>
      <c r="N32" s="302"/>
      <c r="O32" s="306"/>
      <c r="P32" s="307">
        <v>45985</v>
      </c>
      <c r="Q32" s="308"/>
      <c r="R32" s="209" t="str">
        <f t="shared" si="0"/>
        <v/>
      </c>
      <c r="S32" s="187"/>
      <c r="AA32" s="230">
        <v>1068</v>
      </c>
    </row>
    <row r="33" spans="1:27" ht="18" customHeight="1">
      <c r="A33" s="298">
        <v>38785</v>
      </c>
      <c r="B33" s="299">
        <v>72142</v>
      </c>
      <c r="C33" s="300" t="s">
        <v>41</v>
      </c>
      <c r="D33" s="298">
        <v>1</v>
      </c>
      <c r="E33" s="377" t="s">
        <v>275</v>
      </c>
      <c r="F33" s="298"/>
      <c r="G33" s="310" t="s">
        <v>265</v>
      </c>
      <c r="H33" s="301">
        <v>45720</v>
      </c>
      <c r="I33" s="302">
        <v>4</v>
      </c>
      <c r="J33" s="300" t="s">
        <v>284</v>
      </c>
      <c r="K33" s="303">
        <v>39684.129999999997</v>
      </c>
      <c r="L33" s="343" t="s">
        <v>539</v>
      </c>
      <c r="M33" s="305"/>
      <c r="N33" s="302"/>
      <c r="O33" s="306"/>
      <c r="P33" s="307">
        <v>45985</v>
      </c>
      <c r="Q33" s="308"/>
      <c r="R33" s="209" t="str">
        <f t="shared" si="0"/>
        <v/>
      </c>
      <c r="S33" s="187"/>
      <c r="AA33" s="230">
        <v>1071</v>
      </c>
    </row>
    <row r="34" spans="1:27" ht="18" customHeight="1">
      <c r="A34" s="298">
        <v>38785</v>
      </c>
      <c r="B34" s="299">
        <v>72143</v>
      </c>
      <c r="C34" s="300" t="s">
        <v>41</v>
      </c>
      <c r="D34" s="298">
        <v>1</v>
      </c>
      <c r="E34" s="377" t="s">
        <v>276</v>
      </c>
      <c r="F34" s="298"/>
      <c r="G34" s="310" t="s">
        <v>265</v>
      </c>
      <c r="H34" s="301">
        <v>45720</v>
      </c>
      <c r="I34" s="302">
        <v>5</v>
      </c>
      <c r="J34" s="300" t="s">
        <v>285</v>
      </c>
      <c r="K34" s="303">
        <v>16803.5</v>
      </c>
      <c r="L34" s="343" t="s">
        <v>539</v>
      </c>
      <c r="M34" s="305"/>
      <c r="N34" s="302"/>
      <c r="O34" s="306"/>
      <c r="P34" s="307">
        <v>45985</v>
      </c>
      <c r="Q34" s="308"/>
      <c r="R34" s="209" t="str">
        <f t="shared" si="0"/>
        <v/>
      </c>
      <c r="S34" s="187"/>
      <c r="AA34" s="230">
        <v>1072</v>
      </c>
    </row>
    <row r="35" spans="1:27" ht="18" customHeight="1">
      <c r="A35" s="298">
        <v>38785</v>
      </c>
      <c r="B35" s="299">
        <v>72144</v>
      </c>
      <c r="C35" s="300" t="s">
        <v>41</v>
      </c>
      <c r="D35" s="298">
        <v>1</v>
      </c>
      <c r="E35" s="377" t="s">
        <v>277</v>
      </c>
      <c r="F35" s="298"/>
      <c r="G35" s="310" t="s">
        <v>265</v>
      </c>
      <c r="H35" s="301">
        <v>45720</v>
      </c>
      <c r="I35" s="302">
        <v>6</v>
      </c>
      <c r="J35" s="300" t="s">
        <v>286</v>
      </c>
      <c r="K35" s="303">
        <v>17217.82</v>
      </c>
      <c r="L35" s="343" t="s">
        <v>539</v>
      </c>
      <c r="M35" s="305"/>
      <c r="N35" s="302"/>
      <c r="O35" s="306"/>
      <c r="P35" s="307">
        <v>45985</v>
      </c>
      <c r="Q35" s="308"/>
      <c r="R35" s="209" t="str">
        <f t="shared" si="0"/>
        <v/>
      </c>
      <c r="S35" s="187"/>
    </row>
    <row r="36" spans="1:27" ht="18" customHeight="1">
      <c r="A36" s="298">
        <v>38785</v>
      </c>
      <c r="B36" s="387">
        <v>72145</v>
      </c>
      <c r="C36" s="300" t="s">
        <v>41</v>
      </c>
      <c r="D36" s="298">
        <v>1</v>
      </c>
      <c r="E36" s="377" t="s">
        <v>278</v>
      </c>
      <c r="F36" s="298"/>
      <c r="G36" s="310" t="s">
        <v>265</v>
      </c>
      <c r="H36" s="301">
        <v>45720</v>
      </c>
      <c r="I36" s="302">
        <v>7</v>
      </c>
      <c r="J36" s="300" t="s">
        <v>287</v>
      </c>
      <c r="K36" s="303">
        <v>17288.48</v>
      </c>
      <c r="L36" s="343" t="s">
        <v>539</v>
      </c>
      <c r="M36" s="305"/>
      <c r="N36" s="302"/>
      <c r="O36" s="306"/>
      <c r="P36" s="307">
        <v>45985</v>
      </c>
      <c r="Q36" s="308"/>
      <c r="R36" s="209" t="str">
        <f t="shared" si="0"/>
        <v/>
      </c>
      <c r="S36" s="187"/>
      <c r="AA36" s="230">
        <v>1073</v>
      </c>
    </row>
    <row r="37" spans="1:27" ht="18" customHeight="1">
      <c r="A37" s="298">
        <v>38785</v>
      </c>
      <c r="B37" s="299">
        <v>72146</v>
      </c>
      <c r="C37" s="300" t="s">
        <v>41</v>
      </c>
      <c r="D37" s="298">
        <v>1</v>
      </c>
      <c r="E37" s="377" t="s">
        <v>279</v>
      </c>
      <c r="F37" s="298"/>
      <c r="G37" s="310" t="s">
        <v>265</v>
      </c>
      <c r="H37" s="301">
        <v>45720</v>
      </c>
      <c r="I37" s="302">
        <v>8</v>
      </c>
      <c r="J37" s="300" t="s">
        <v>288</v>
      </c>
      <c r="K37" s="303">
        <v>15059.18</v>
      </c>
      <c r="L37" s="343" t="s">
        <v>539</v>
      </c>
      <c r="M37" s="305"/>
      <c r="N37" s="302"/>
      <c r="O37" s="306"/>
      <c r="P37" s="307">
        <v>45985</v>
      </c>
      <c r="Q37" s="308"/>
      <c r="R37" s="209" t="str">
        <f t="shared" si="0"/>
        <v/>
      </c>
      <c r="S37" s="187"/>
    </row>
    <row r="38" spans="1:27" ht="18" customHeight="1">
      <c r="A38" s="298">
        <v>38785</v>
      </c>
      <c r="B38" s="299">
        <v>72147</v>
      </c>
      <c r="C38" s="300" t="s">
        <v>41</v>
      </c>
      <c r="D38" s="298">
        <v>2</v>
      </c>
      <c r="E38" s="377" t="s">
        <v>280</v>
      </c>
      <c r="F38" s="298"/>
      <c r="G38" s="310" t="s">
        <v>265</v>
      </c>
      <c r="H38" s="301">
        <v>45720</v>
      </c>
      <c r="I38" s="302">
        <v>9</v>
      </c>
      <c r="J38" s="300" t="s">
        <v>289</v>
      </c>
      <c r="K38" s="303">
        <v>84206.32</v>
      </c>
      <c r="L38" s="343" t="s">
        <v>539</v>
      </c>
      <c r="M38" s="305"/>
      <c r="N38" s="302"/>
      <c r="O38" s="306"/>
      <c r="P38" s="307">
        <v>45985</v>
      </c>
      <c r="Q38" s="308"/>
      <c r="R38" s="209" t="str">
        <f t="shared" si="0"/>
        <v/>
      </c>
      <c r="S38" s="187"/>
      <c r="AA38" s="230">
        <v>1097</v>
      </c>
    </row>
    <row r="39" spans="1:27" ht="18" customHeight="1">
      <c r="A39" s="230"/>
      <c r="B39" s="231"/>
      <c r="C39" s="187"/>
      <c r="D39" s="230"/>
      <c r="E39" s="232"/>
      <c r="F39" s="230"/>
      <c r="G39" s="187"/>
      <c r="H39" s="250"/>
      <c r="J39" s="187"/>
      <c r="M39" s="237"/>
      <c r="N39" s="207"/>
      <c r="O39" s="239"/>
      <c r="P39" s="249"/>
      <c r="Q39" s="254"/>
      <c r="R39" s="209" t="str">
        <f t="shared" si="0"/>
        <v/>
      </c>
      <c r="S39" s="187"/>
    </row>
    <row r="40" spans="1:27" ht="18" customHeight="1">
      <c r="A40" s="298">
        <v>38804</v>
      </c>
      <c r="B40" s="299">
        <v>72234</v>
      </c>
      <c r="C40" s="300" t="s">
        <v>41</v>
      </c>
      <c r="D40" s="298">
        <v>1</v>
      </c>
      <c r="E40" s="377" t="s">
        <v>272</v>
      </c>
      <c r="F40" s="298"/>
      <c r="G40" s="310" t="s">
        <v>265</v>
      </c>
      <c r="H40" s="301">
        <v>45736</v>
      </c>
      <c r="I40" s="302">
        <v>1</v>
      </c>
      <c r="J40" s="300" t="s">
        <v>281</v>
      </c>
      <c r="K40" s="303">
        <v>39444.42</v>
      </c>
      <c r="L40" s="304" t="s">
        <v>290</v>
      </c>
      <c r="M40" s="305"/>
      <c r="N40" s="302"/>
      <c r="O40" s="306"/>
      <c r="P40" s="309">
        <v>45985</v>
      </c>
      <c r="Q40" s="308"/>
      <c r="R40" s="209" t="str">
        <f t="shared" si="0"/>
        <v/>
      </c>
      <c r="S40" s="187"/>
      <c r="AA40" s="230">
        <v>1098</v>
      </c>
    </row>
    <row r="41" spans="1:27" ht="18" customHeight="1">
      <c r="A41" s="298">
        <v>38804</v>
      </c>
      <c r="B41" s="299">
        <v>72235</v>
      </c>
      <c r="C41" s="300" t="s">
        <v>41</v>
      </c>
      <c r="D41" s="298">
        <v>1</v>
      </c>
      <c r="E41" s="377" t="s">
        <v>273</v>
      </c>
      <c r="F41" s="298"/>
      <c r="G41" s="310" t="s">
        <v>265</v>
      </c>
      <c r="H41" s="301">
        <v>45736</v>
      </c>
      <c r="I41" s="302">
        <v>2</v>
      </c>
      <c r="J41" s="300" t="s">
        <v>282</v>
      </c>
      <c r="K41" s="303">
        <v>38305.699999999997</v>
      </c>
      <c r="L41" s="304" t="s">
        <v>290</v>
      </c>
      <c r="M41" s="305"/>
      <c r="N41" s="302"/>
      <c r="O41" s="306"/>
      <c r="P41" s="309">
        <v>45985</v>
      </c>
      <c r="Q41" s="308"/>
      <c r="R41" s="209" t="str">
        <f t="shared" si="0"/>
        <v/>
      </c>
      <c r="S41" s="187"/>
    </row>
    <row r="42" spans="1:27" ht="18" customHeight="1">
      <c r="A42" s="298">
        <v>38804</v>
      </c>
      <c r="B42" s="299">
        <v>72236</v>
      </c>
      <c r="C42" s="300" t="s">
        <v>41</v>
      </c>
      <c r="D42" s="298">
        <v>1</v>
      </c>
      <c r="E42" s="377" t="s">
        <v>274</v>
      </c>
      <c r="F42" s="298"/>
      <c r="G42" s="310" t="s">
        <v>265</v>
      </c>
      <c r="H42" s="301">
        <v>45736</v>
      </c>
      <c r="I42" s="302">
        <v>3</v>
      </c>
      <c r="J42" s="300" t="s">
        <v>283</v>
      </c>
      <c r="K42" s="303">
        <v>39684.129999999997</v>
      </c>
      <c r="L42" s="304" t="s">
        <v>290</v>
      </c>
      <c r="M42" s="305"/>
      <c r="N42" s="302"/>
      <c r="O42" s="306"/>
      <c r="P42" s="309">
        <v>45985</v>
      </c>
      <c r="Q42" s="308"/>
      <c r="R42" s="209" t="str">
        <f t="shared" si="0"/>
        <v/>
      </c>
      <c r="S42" s="187"/>
      <c r="AA42" s="230">
        <v>1099</v>
      </c>
    </row>
    <row r="43" spans="1:27" ht="18" customHeight="1">
      <c r="A43" s="298">
        <v>38804</v>
      </c>
      <c r="B43" s="299">
        <v>72237</v>
      </c>
      <c r="C43" s="300" t="s">
        <v>41</v>
      </c>
      <c r="D43" s="298">
        <v>1</v>
      </c>
      <c r="E43" s="377" t="s">
        <v>275</v>
      </c>
      <c r="F43" s="298"/>
      <c r="G43" s="310" t="s">
        <v>265</v>
      </c>
      <c r="H43" s="301">
        <v>45736</v>
      </c>
      <c r="I43" s="302">
        <v>4</v>
      </c>
      <c r="J43" s="300" t="s">
        <v>284</v>
      </c>
      <c r="K43" s="303">
        <v>39684.129999999997</v>
      </c>
      <c r="L43" s="304" t="s">
        <v>290</v>
      </c>
      <c r="M43" s="305"/>
      <c r="N43" s="302"/>
      <c r="O43" s="306"/>
      <c r="P43" s="309">
        <v>45985</v>
      </c>
      <c r="Q43" s="308"/>
      <c r="R43" s="209" t="str">
        <f t="shared" si="0"/>
        <v/>
      </c>
      <c r="S43" s="187"/>
    </row>
    <row r="44" spans="1:27" ht="18" customHeight="1">
      <c r="A44" s="298">
        <v>38804</v>
      </c>
      <c r="B44" s="299">
        <v>72238</v>
      </c>
      <c r="C44" s="300" t="s">
        <v>41</v>
      </c>
      <c r="D44" s="298">
        <v>1</v>
      </c>
      <c r="E44" s="377" t="s">
        <v>276</v>
      </c>
      <c r="F44" s="298"/>
      <c r="G44" s="310" t="s">
        <v>265</v>
      </c>
      <c r="H44" s="301">
        <v>45736</v>
      </c>
      <c r="I44" s="302">
        <v>5</v>
      </c>
      <c r="J44" s="300" t="s">
        <v>285</v>
      </c>
      <c r="K44" s="303">
        <v>16803.5</v>
      </c>
      <c r="L44" s="304" t="s">
        <v>290</v>
      </c>
      <c r="M44" s="305"/>
      <c r="N44" s="302"/>
      <c r="O44" s="306"/>
      <c r="P44" s="309">
        <v>45985</v>
      </c>
      <c r="Q44" s="308"/>
      <c r="R44" s="209" t="str">
        <f t="shared" si="0"/>
        <v/>
      </c>
      <c r="S44" s="187"/>
      <c r="AA44" s="230">
        <v>1100</v>
      </c>
    </row>
    <row r="45" spans="1:27" ht="18" customHeight="1">
      <c r="A45" s="298">
        <v>38804</v>
      </c>
      <c r="B45" s="299">
        <v>72239</v>
      </c>
      <c r="C45" s="300" t="s">
        <v>41</v>
      </c>
      <c r="D45" s="298">
        <v>1</v>
      </c>
      <c r="E45" s="377" t="s">
        <v>277</v>
      </c>
      <c r="F45" s="298"/>
      <c r="G45" s="310" t="s">
        <v>265</v>
      </c>
      <c r="H45" s="301">
        <v>45736</v>
      </c>
      <c r="I45" s="302">
        <v>6</v>
      </c>
      <c r="J45" s="300" t="s">
        <v>286</v>
      </c>
      <c r="K45" s="303">
        <v>17217.82</v>
      </c>
      <c r="L45" s="304" t="s">
        <v>290</v>
      </c>
      <c r="M45" s="305"/>
      <c r="N45" s="302"/>
      <c r="O45" s="306"/>
      <c r="P45" s="309">
        <v>45985</v>
      </c>
      <c r="Q45" s="308"/>
      <c r="R45" s="209" t="str">
        <f t="shared" si="0"/>
        <v/>
      </c>
      <c r="S45" s="187"/>
    </row>
    <row r="46" spans="1:27" ht="18" customHeight="1">
      <c r="A46" s="298">
        <v>38804</v>
      </c>
      <c r="B46" s="299">
        <v>72240</v>
      </c>
      <c r="C46" s="300" t="s">
        <v>41</v>
      </c>
      <c r="D46" s="298">
        <v>1</v>
      </c>
      <c r="E46" s="377" t="s">
        <v>278</v>
      </c>
      <c r="F46" s="298"/>
      <c r="G46" s="310" t="s">
        <v>265</v>
      </c>
      <c r="H46" s="301">
        <v>45736</v>
      </c>
      <c r="I46" s="302">
        <v>7</v>
      </c>
      <c r="J46" s="300" t="s">
        <v>287</v>
      </c>
      <c r="K46" s="303">
        <v>17288.48</v>
      </c>
      <c r="L46" s="304" t="s">
        <v>290</v>
      </c>
      <c r="M46" s="305"/>
      <c r="N46" s="302"/>
      <c r="O46" s="306"/>
      <c r="P46" s="309">
        <v>45985</v>
      </c>
      <c r="Q46" s="308"/>
      <c r="R46" s="209" t="str">
        <f t="shared" si="0"/>
        <v/>
      </c>
      <c r="S46" s="187"/>
      <c r="AA46" s="230">
        <v>1101</v>
      </c>
    </row>
    <row r="47" spans="1:27" ht="18" customHeight="1">
      <c r="A47" s="298">
        <v>38804</v>
      </c>
      <c r="B47" s="299">
        <v>72241</v>
      </c>
      <c r="C47" s="300" t="s">
        <v>41</v>
      </c>
      <c r="D47" s="298">
        <v>1</v>
      </c>
      <c r="E47" s="377" t="s">
        <v>279</v>
      </c>
      <c r="F47" s="298"/>
      <c r="G47" s="310" t="s">
        <v>265</v>
      </c>
      <c r="H47" s="301">
        <v>45736</v>
      </c>
      <c r="I47" s="302">
        <v>8</v>
      </c>
      <c r="J47" s="300" t="s">
        <v>288</v>
      </c>
      <c r="K47" s="303">
        <v>15059.18</v>
      </c>
      <c r="L47" s="304" t="s">
        <v>290</v>
      </c>
      <c r="M47" s="305"/>
      <c r="N47" s="302"/>
      <c r="O47" s="306"/>
      <c r="P47" s="309">
        <v>45985</v>
      </c>
      <c r="Q47" s="308"/>
      <c r="R47" s="209" t="str">
        <f t="shared" si="0"/>
        <v/>
      </c>
      <c r="S47" s="187"/>
    </row>
    <row r="48" spans="1:27" ht="18" customHeight="1">
      <c r="A48" s="298">
        <v>38804</v>
      </c>
      <c r="B48" s="299">
        <v>72242</v>
      </c>
      <c r="C48" s="300" t="s">
        <v>41</v>
      </c>
      <c r="D48" s="298">
        <v>2</v>
      </c>
      <c r="E48" s="377" t="s">
        <v>280</v>
      </c>
      <c r="F48" s="298"/>
      <c r="G48" s="310" t="s">
        <v>265</v>
      </c>
      <c r="H48" s="301">
        <v>45736</v>
      </c>
      <c r="I48" s="302">
        <v>9</v>
      </c>
      <c r="J48" s="300" t="s">
        <v>289</v>
      </c>
      <c r="K48" s="303">
        <v>84206.32</v>
      </c>
      <c r="L48" s="304" t="s">
        <v>290</v>
      </c>
      <c r="M48" s="305"/>
      <c r="N48" s="302"/>
      <c r="O48" s="306"/>
      <c r="P48" s="309">
        <v>45985</v>
      </c>
      <c r="Q48" s="308"/>
      <c r="R48" s="209" t="str">
        <f t="shared" si="0"/>
        <v/>
      </c>
      <c r="S48" s="187"/>
      <c r="AA48" s="230">
        <v>1102</v>
      </c>
    </row>
    <row r="49" spans="1:27" ht="18" customHeight="1">
      <c r="A49" s="230"/>
      <c r="B49" s="231"/>
      <c r="C49" s="187"/>
      <c r="D49" s="230"/>
      <c r="E49" s="232"/>
      <c r="F49" s="230"/>
      <c r="G49" s="265"/>
      <c r="H49" s="250"/>
      <c r="J49" s="187"/>
      <c r="M49" s="237"/>
      <c r="N49" s="207"/>
      <c r="O49" s="239"/>
      <c r="P49" s="249"/>
      <c r="Q49" s="254"/>
      <c r="R49" s="209" t="str">
        <f t="shared" si="0"/>
        <v/>
      </c>
      <c r="S49" s="187"/>
      <c r="AA49" s="230">
        <v>1103</v>
      </c>
    </row>
    <row r="50" spans="1:27" ht="18" customHeight="1">
      <c r="A50" s="230">
        <v>38825</v>
      </c>
      <c r="B50" s="231">
        <v>72280</v>
      </c>
      <c r="C50" s="187" t="s">
        <v>41</v>
      </c>
      <c r="D50" s="230">
        <v>1</v>
      </c>
      <c r="E50" s="373" t="s">
        <v>293</v>
      </c>
      <c r="F50" s="230">
        <v>0</v>
      </c>
      <c r="G50" s="265" t="s">
        <v>231</v>
      </c>
      <c r="H50" s="250">
        <v>45748</v>
      </c>
      <c r="I50" s="207">
        <v>1</v>
      </c>
      <c r="J50" s="187" t="s">
        <v>294</v>
      </c>
      <c r="K50" s="235">
        <v>122666</v>
      </c>
      <c r="L50" s="207" t="s">
        <v>651</v>
      </c>
      <c r="M50" s="237">
        <v>45192</v>
      </c>
      <c r="N50" s="207">
        <v>1</v>
      </c>
      <c r="O50" s="239">
        <v>53435</v>
      </c>
      <c r="P50" s="249">
        <v>45884</v>
      </c>
      <c r="Q50" s="254">
        <v>46202</v>
      </c>
      <c r="R50" s="209">
        <f t="shared" si="0"/>
        <v>318</v>
      </c>
      <c r="S50" s="187"/>
    </row>
    <row r="51" spans="1:27" ht="18" customHeight="1">
      <c r="A51" s="274">
        <v>38825</v>
      </c>
      <c r="B51" s="275">
        <v>72948</v>
      </c>
      <c r="C51" s="276" t="s">
        <v>41</v>
      </c>
      <c r="D51" s="274">
        <v>1</v>
      </c>
      <c r="E51" s="376" t="s">
        <v>293</v>
      </c>
      <c r="F51" s="274">
        <v>0</v>
      </c>
      <c r="G51" s="341" t="s">
        <v>244</v>
      </c>
      <c r="H51" s="277">
        <v>45979</v>
      </c>
      <c r="I51" s="278">
        <v>2</v>
      </c>
      <c r="J51" s="276" t="s">
        <v>537</v>
      </c>
      <c r="K51" s="279">
        <v>45623</v>
      </c>
      <c r="L51" s="342" t="s">
        <v>652</v>
      </c>
      <c r="M51" s="237">
        <v>45192</v>
      </c>
      <c r="N51" s="207">
        <v>1</v>
      </c>
      <c r="O51" s="239">
        <v>53435</v>
      </c>
      <c r="P51" s="249">
        <v>45884</v>
      </c>
      <c r="Q51" s="254">
        <v>46202</v>
      </c>
      <c r="R51" s="209">
        <f t="shared" si="0"/>
        <v>318</v>
      </c>
      <c r="S51" s="187"/>
    </row>
    <row r="52" spans="1:27" ht="18" customHeight="1">
      <c r="A52" s="230"/>
      <c r="B52" s="231"/>
      <c r="C52" s="187"/>
      <c r="D52" s="230"/>
      <c r="E52" s="232"/>
      <c r="F52" s="230"/>
      <c r="G52" s="187"/>
      <c r="H52" s="250"/>
      <c r="J52" s="187"/>
      <c r="M52" s="237"/>
      <c r="N52" s="207"/>
      <c r="O52" s="239"/>
      <c r="P52" s="249"/>
      <c r="Q52" s="254"/>
      <c r="R52" s="209" t="str">
        <f t="shared" si="0"/>
        <v/>
      </c>
      <c r="S52" s="187"/>
      <c r="AA52" s="230">
        <v>1105</v>
      </c>
    </row>
    <row r="53" spans="1:27" ht="18" customHeight="1">
      <c r="A53" s="230">
        <v>38835</v>
      </c>
      <c r="B53" s="231">
        <v>72297</v>
      </c>
      <c r="C53" s="187" t="s">
        <v>32</v>
      </c>
      <c r="D53" s="230">
        <v>15</v>
      </c>
      <c r="E53" s="232" t="s">
        <v>295</v>
      </c>
      <c r="F53" s="230"/>
      <c r="G53" s="187" t="s">
        <v>296</v>
      </c>
      <c r="H53" s="250">
        <v>45755</v>
      </c>
      <c r="I53" s="207">
        <v>1</v>
      </c>
      <c r="J53" s="187" t="s">
        <v>297</v>
      </c>
      <c r="M53" s="237"/>
      <c r="N53" s="207"/>
      <c r="O53" s="239"/>
      <c r="P53" s="249">
        <v>45775</v>
      </c>
      <c r="Q53" s="254"/>
      <c r="R53" s="209" t="str">
        <f t="shared" si="0"/>
        <v/>
      </c>
      <c r="S53" s="187"/>
    </row>
    <row r="54" spans="1:27" ht="18" customHeight="1">
      <c r="A54" s="230"/>
      <c r="B54" s="231"/>
      <c r="C54" s="187"/>
      <c r="D54" s="230"/>
      <c r="E54" s="232"/>
      <c r="F54" s="230"/>
      <c r="G54" s="187"/>
      <c r="H54" s="250"/>
      <c r="J54" s="187"/>
      <c r="M54" s="237"/>
      <c r="N54" s="207"/>
      <c r="O54" s="239"/>
      <c r="P54" s="249"/>
      <c r="Q54" s="254"/>
      <c r="R54" s="209" t="str">
        <f t="shared" si="0"/>
        <v/>
      </c>
      <c r="S54" s="187"/>
      <c r="AA54" s="230">
        <v>1106</v>
      </c>
    </row>
    <row r="55" spans="1:27" ht="18" customHeight="1">
      <c r="A55" s="230">
        <v>38848</v>
      </c>
      <c r="B55" s="231">
        <v>72326</v>
      </c>
      <c r="C55" s="187" t="s">
        <v>0</v>
      </c>
      <c r="D55" s="230">
        <v>1</v>
      </c>
      <c r="E55" s="232" t="s">
        <v>238</v>
      </c>
      <c r="F55" s="230"/>
      <c r="G55" s="187" t="s">
        <v>228</v>
      </c>
      <c r="H55" s="250">
        <v>45770</v>
      </c>
      <c r="I55" s="207">
        <v>1</v>
      </c>
      <c r="J55" s="187" t="s">
        <v>298</v>
      </c>
      <c r="M55" s="237"/>
      <c r="N55" s="207"/>
      <c r="O55" s="239"/>
      <c r="P55" s="249">
        <v>45779</v>
      </c>
      <c r="Q55" s="254"/>
      <c r="R55" s="209" t="str">
        <f t="shared" si="0"/>
        <v/>
      </c>
      <c r="S55" s="187"/>
    </row>
    <row r="56" spans="1:27" ht="18" customHeight="1">
      <c r="A56" s="230">
        <v>38848</v>
      </c>
      <c r="B56" s="231">
        <v>72327</v>
      </c>
      <c r="C56" s="187" t="s">
        <v>0</v>
      </c>
      <c r="D56" s="230">
        <v>1</v>
      </c>
      <c r="E56" s="232" t="s">
        <v>238</v>
      </c>
      <c r="F56" s="230"/>
      <c r="G56" s="187" t="s">
        <v>228</v>
      </c>
      <c r="H56" s="250">
        <v>45770</v>
      </c>
      <c r="I56" s="207">
        <v>2</v>
      </c>
      <c r="J56" s="187" t="s">
        <v>299</v>
      </c>
      <c r="M56" s="237"/>
      <c r="N56" s="207"/>
      <c r="O56" s="239"/>
      <c r="P56" s="249">
        <v>45779</v>
      </c>
      <c r="Q56" s="254"/>
      <c r="R56" s="209" t="str">
        <f t="shared" si="0"/>
        <v/>
      </c>
      <c r="S56" s="187"/>
      <c r="AA56" s="230">
        <v>1107</v>
      </c>
    </row>
    <row r="57" spans="1:27" ht="18" customHeight="1">
      <c r="A57" s="230">
        <v>38848</v>
      </c>
      <c r="B57" s="231">
        <v>72328</v>
      </c>
      <c r="C57" s="187" t="s">
        <v>0</v>
      </c>
      <c r="D57" s="230">
        <v>1</v>
      </c>
      <c r="E57" s="232" t="s">
        <v>238</v>
      </c>
      <c r="F57" s="230"/>
      <c r="G57" s="187" t="s">
        <v>228</v>
      </c>
      <c r="H57" s="250">
        <v>45770</v>
      </c>
      <c r="I57" s="207">
        <v>3</v>
      </c>
      <c r="J57" s="187" t="s">
        <v>300</v>
      </c>
      <c r="M57" s="237"/>
      <c r="N57" s="207"/>
      <c r="O57" s="239"/>
      <c r="P57" s="249">
        <v>45779</v>
      </c>
      <c r="Q57" s="254"/>
      <c r="R57" s="209" t="str">
        <f t="shared" si="0"/>
        <v/>
      </c>
      <c r="S57" s="187"/>
    </row>
    <row r="58" spans="1:27" ht="18" customHeight="1">
      <c r="A58" s="230"/>
      <c r="B58" s="231"/>
      <c r="C58" s="187"/>
      <c r="D58" s="230"/>
      <c r="E58" s="232"/>
      <c r="F58" s="230"/>
      <c r="G58" s="187"/>
      <c r="H58" s="250"/>
      <c r="J58" s="187"/>
      <c r="M58" s="237"/>
      <c r="N58" s="207"/>
      <c r="O58" s="239"/>
      <c r="P58" s="249"/>
      <c r="Q58" s="254"/>
      <c r="R58" s="209" t="str">
        <f t="shared" si="0"/>
        <v/>
      </c>
      <c r="S58" s="187"/>
      <c r="AA58" s="230">
        <v>1108</v>
      </c>
    </row>
    <row r="59" spans="1:27" ht="18" customHeight="1">
      <c r="A59" s="230">
        <v>38865</v>
      </c>
      <c r="B59" s="231">
        <v>72367</v>
      </c>
      <c r="C59" s="187" t="s">
        <v>41</v>
      </c>
      <c r="D59" s="230">
        <v>4</v>
      </c>
      <c r="E59" s="373" t="s">
        <v>305</v>
      </c>
      <c r="F59" s="230">
        <v>5</v>
      </c>
      <c r="G59" s="187" t="s">
        <v>306</v>
      </c>
      <c r="H59" s="250">
        <v>45779</v>
      </c>
      <c r="I59" s="207">
        <v>1</v>
      </c>
      <c r="J59" s="187" t="s">
        <v>307</v>
      </c>
      <c r="K59" s="235">
        <v>161870</v>
      </c>
      <c r="L59" s="316" t="s">
        <v>884</v>
      </c>
      <c r="M59" s="237"/>
      <c r="N59" s="207"/>
      <c r="O59" s="239"/>
      <c r="P59" s="249">
        <v>46232</v>
      </c>
      <c r="Q59" s="254"/>
      <c r="R59" s="209" t="str">
        <f t="shared" si="0"/>
        <v/>
      </c>
      <c r="S59" s="187"/>
    </row>
    <row r="60" spans="1:27" ht="18" customHeight="1">
      <c r="A60" s="230">
        <v>38865</v>
      </c>
      <c r="B60" s="231">
        <v>72368</v>
      </c>
      <c r="C60" s="187" t="s">
        <v>41</v>
      </c>
      <c r="D60" s="230">
        <v>4</v>
      </c>
      <c r="E60" s="373" t="s">
        <v>308</v>
      </c>
      <c r="F60" s="230">
        <v>3</v>
      </c>
      <c r="G60" s="187" t="s">
        <v>306</v>
      </c>
      <c r="H60" s="250">
        <v>45779</v>
      </c>
      <c r="I60" s="207">
        <v>2</v>
      </c>
      <c r="J60" s="187" t="s">
        <v>309</v>
      </c>
      <c r="K60" s="235">
        <v>181755</v>
      </c>
      <c r="L60" s="316" t="s">
        <v>884</v>
      </c>
      <c r="M60" s="237"/>
      <c r="N60" s="207"/>
      <c r="O60" s="239"/>
      <c r="P60" s="249">
        <v>46232</v>
      </c>
      <c r="Q60" s="254"/>
      <c r="R60" s="209" t="str">
        <f t="shared" si="0"/>
        <v/>
      </c>
      <c r="S60" s="187"/>
      <c r="AA60" s="230">
        <v>1109</v>
      </c>
    </row>
    <row r="61" spans="1:27" ht="18" customHeight="1">
      <c r="A61" s="230"/>
      <c r="B61" s="231"/>
      <c r="C61" s="187"/>
      <c r="D61" s="230"/>
      <c r="E61" s="232"/>
      <c r="F61" s="230"/>
      <c r="G61" s="187"/>
      <c r="H61" s="250"/>
      <c r="J61" s="187"/>
      <c r="M61" s="237"/>
      <c r="N61" s="207"/>
      <c r="O61" s="239"/>
      <c r="P61" s="249"/>
      <c r="Q61" s="254"/>
      <c r="R61" s="209" t="str">
        <f t="shared" si="0"/>
        <v/>
      </c>
      <c r="S61" s="187"/>
      <c r="AA61" s="230">
        <v>1110</v>
      </c>
    </row>
    <row r="62" spans="1:27" ht="18" customHeight="1">
      <c r="A62" s="230">
        <v>38867</v>
      </c>
      <c r="B62" s="231">
        <v>72373</v>
      </c>
      <c r="C62" s="187" t="s">
        <v>41</v>
      </c>
      <c r="D62" s="230">
        <v>3</v>
      </c>
      <c r="E62" s="373" t="s">
        <v>316</v>
      </c>
      <c r="F62" s="230">
        <v>4</v>
      </c>
      <c r="G62" s="262" t="s">
        <v>247</v>
      </c>
      <c r="H62" s="250">
        <v>45782</v>
      </c>
      <c r="I62" s="207">
        <v>1</v>
      </c>
      <c r="J62" s="187" t="s">
        <v>317</v>
      </c>
      <c r="K62" s="235">
        <v>785648</v>
      </c>
      <c r="L62" s="355" t="s">
        <v>587</v>
      </c>
      <c r="M62" s="237"/>
      <c r="N62" s="207"/>
      <c r="O62" s="239"/>
      <c r="P62" s="249">
        <v>46304</v>
      </c>
      <c r="Q62" s="254"/>
      <c r="R62" s="209" t="str">
        <f t="shared" si="0"/>
        <v/>
      </c>
      <c r="S62" s="187"/>
      <c r="AA62" s="230">
        <v>1111</v>
      </c>
    </row>
    <row r="63" spans="1:27" ht="18" customHeight="1">
      <c r="A63" s="230"/>
      <c r="B63" s="231"/>
      <c r="C63" s="187"/>
      <c r="D63" s="230"/>
      <c r="E63" s="232"/>
      <c r="F63" s="230"/>
      <c r="G63" s="187"/>
      <c r="H63" s="250"/>
      <c r="J63" s="187"/>
      <c r="M63" s="237"/>
      <c r="N63" s="207"/>
      <c r="O63" s="239"/>
      <c r="P63" s="249"/>
      <c r="Q63" s="254"/>
      <c r="R63" s="209" t="str">
        <f t="shared" si="0"/>
        <v/>
      </c>
      <c r="S63" s="187"/>
      <c r="AA63" s="230">
        <v>1112</v>
      </c>
    </row>
    <row r="64" spans="1:27" ht="18" customHeight="1">
      <c r="A64" s="230">
        <v>38885</v>
      </c>
      <c r="B64" s="231">
        <v>72395</v>
      </c>
      <c r="C64" s="187" t="s">
        <v>41</v>
      </c>
      <c r="D64" s="230">
        <v>1</v>
      </c>
      <c r="E64" s="373" t="s">
        <v>318</v>
      </c>
      <c r="F64" s="230">
        <v>2</v>
      </c>
      <c r="G64" s="266" t="s">
        <v>319</v>
      </c>
      <c r="H64" s="250">
        <v>45797</v>
      </c>
      <c r="I64" s="207">
        <v>1</v>
      </c>
      <c r="J64" s="187" t="s">
        <v>320</v>
      </c>
      <c r="K64" s="235">
        <v>146936</v>
      </c>
      <c r="L64" s="354" t="s">
        <v>586</v>
      </c>
      <c r="M64" s="237"/>
      <c r="N64" s="207"/>
      <c r="O64" s="239"/>
      <c r="P64" s="249">
        <v>45896</v>
      </c>
      <c r="Q64" s="254"/>
      <c r="R64" s="209" t="str">
        <f t="shared" si="0"/>
        <v/>
      </c>
      <c r="S64" s="187"/>
      <c r="AA64" s="230">
        <v>1113</v>
      </c>
    </row>
    <row r="65" spans="1:27" ht="18" customHeight="1">
      <c r="A65" s="230"/>
      <c r="B65" s="231"/>
      <c r="C65" s="187"/>
      <c r="D65" s="230"/>
      <c r="E65" s="232"/>
      <c r="F65" s="230"/>
      <c r="G65" s="187"/>
      <c r="H65" s="250"/>
      <c r="J65" s="187"/>
      <c r="M65" s="237"/>
      <c r="N65" s="207"/>
      <c r="O65" s="239"/>
      <c r="P65" s="249"/>
      <c r="Q65" s="254"/>
      <c r="R65" s="209" t="str">
        <f t="shared" si="0"/>
        <v/>
      </c>
      <c r="S65" s="187"/>
    </row>
    <row r="66" spans="1:27" ht="18" customHeight="1">
      <c r="A66" s="230">
        <v>38898</v>
      </c>
      <c r="B66" s="231">
        <v>72422</v>
      </c>
      <c r="C66" s="187" t="s">
        <v>41</v>
      </c>
      <c r="D66" s="230">
        <v>1</v>
      </c>
      <c r="E66" s="373">
        <f>+E387</f>
        <v>0</v>
      </c>
      <c r="F66" s="230">
        <v>0</v>
      </c>
      <c r="G66" s="262" t="s">
        <v>247</v>
      </c>
      <c r="H66" s="250">
        <v>45803</v>
      </c>
      <c r="I66" s="207">
        <v>1</v>
      </c>
      <c r="J66" s="187" t="s">
        <v>321</v>
      </c>
      <c r="K66" s="235">
        <v>272363</v>
      </c>
      <c r="L66" s="207" t="s">
        <v>546</v>
      </c>
      <c r="M66" s="237"/>
      <c r="N66" s="207"/>
      <c r="O66" s="239"/>
      <c r="P66" s="255">
        <v>45991</v>
      </c>
      <c r="Q66" s="254"/>
      <c r="R66" s="209" t="str">
        <f t="shared" si="0"/>
        <v/>
      </c>
      <c r="S66" s="187"/>
      <c r="AA66" s="230">
        <v>1114</v>
      </c>
    </row>
    <row r="67" spans="1:27" ht="18" customHeight="1">
      <c r="A67" s="230"/>
      <c r="B67" s="231"/>
      <c r="C67" s="187"/>
      <c r="D67" s="230"/>
      <c r="E67" s="232"/>
      <c r="F67" s="230"/>
      <c r="G67" s="187"/>
      <c r="H67" s="250"/>
      <c r="J67" s="187"/>
      <c r="M67" s="237"/>
      <c r="N67" s="207"/>
      <c r="O67" s="239"/>
      <c r="P67" s="249"/>
      <c r="Q67" s="254"/>
      <c r="R67" s="209" t="str">
        <f t="shared" si="0"/>
        <v/>
      </c>
      <c r="S67" s="187"/>
    </row>
    <row r="68" spans="1:27" ht="18" customHeight="1">
      <c r="A68" s="230">
        <v>38899</v>
      </c>
      <c r="B68" s="231">
        <v>72425</v>
      </c>
      <c r="C68" s="187" t="s">
        <v>168</v>
      </c>
      <c r="D68" s="230">
        <v>1</v>
      </c>
      <c r="E68" s="232" t="s">
        <v>322</v>
      </c>
      <c r="F68" s="230"/>
      <c r="G68" s="187" t="s">
        <v>324</v>
      </c>
      <c r="H68" s="250">
        <v>45804</v>
      </c>
      <c r="I68" s="207">
        <v>50</v>
      </c>
      <c r="J68" s="187" t="s">
        <v>323</v>
      </c>
      <c r="K68" s="235">
        <v>345</v>
      </c>
      <c r="L68" s="207">
        <v>4590038355</v>
      </c>
      <c r="M68" s="237">
        <v>44570</v>
      </c>
      <c r="N68" s="207">
        <v>1</v>
      </c>
      <c r="O68" s="239">
        <v>52834</v>
      </c>
      <c r="P68" s="249">
        <v>45832</v>
      </c>
      <c r="Q68" s="254"/>
      <c r="R68" s="209" t="str">
        <f t="shared" ref="R68:R131" si="1">IF(SUM(Q68)&gt;0,SUM(Q68-P68),"")</f>
        <v/>
      </c>
      <c r="S68" s="187"/>
      <c r="AA68" s="230">
        <v>1115</v>
      </c>
    </row>
    <row r="69" spans="1:27" ht="18" customHeight="1">
      <c r="A69" s="230"/>
      <c r="B69" s="231"/>
      <c r="C69" s="187"/>
      <c r="D69" s="230"/>
      <c r="E69" s="232"/>
      <c r="F69" s="230"/>
      <c r="G69" s="187"/>
      <c r="H69" s="250"/>
      <c r="J69" s="187"/>
      <c r="M69" s="237"/>
      <c r="N69" s="207"/>
      <c r="O69" s="239"/>
      <c r="P69" s="249"/>
      <c r="Q69" s="254"/>
      <c r="R69" s="209" t="str">
        <f t="shared" si="1"/>
        <v/>
      </c>
      <c r="S69" s="187"/>
      <c r="AA69" s="230">
        <v>1116</v>
      </c>
    </row>
    <row r="70" spans="1:27" ht="18" customHeight="1">
      <c r="A70" s="230">
        <v>38906</v>
      </c>
      <c r="B70" s="231">
        <v>72438</v>
      </c>
      <c r="C70" s="187" t="s">
        <v>41</v>
      </c>
      <c r="D70" s="230">
        <v>3</v>
      </c>
      <c r="E70" s="373" t="s">
        <v>714</v>
      </c>
      <c r="F70" s="230"/>
      <c r="G70" s="262" t="s">
        <v>247</v>
      </c>
      <c r="H70" s="250">
        <v>45810</v>
      </c>
      <c r="I70" s="207">
        <v>1</v>
      </c>
      <c r="J70" s="187" t="s">
        <v>326</v>
      </c>
      <c r="K70" s="235">
        <v>243730</v>
      </c>
      <c r="L70" s="207" t="s">
        <v>334</v>
      </c>
      <c r="M70" s="237"/>
      <c r="N70" s="207"/>
      <c r="O70" s="239"/>
      <c r="P70" s="249">
        <v>46311</v>
      </c>
      <c r="Q70" s="254"/>
      <c r="R70" s="209" t="str">
        <f t="shared" si="1"/>
        <v/>
      </c>
      <c r="S70" s="187"/>
      <c r="AA70" s="230">
        <v>1117</v>
      </c>
    </row>
    <row r="71" spans="1:27" ht="18" customHeight="1">
      <c r="A71" s="230">
        <v>38906</v>
      </c>
      <c r="B71" s="231">
        <v>72439</v>
      </c>
      <c r="C71" s="187" t="s">
        <v>41</v>
      </c>
      <c r="D71" s="230">
        <v>3</v>
      </c>
      <c r="E71" s="373" t="s">
        <v>327</v>
      </c>
      <c r="F71" s="230"/>
      <c r="G71" s="262" t="s">
        <v>247</v>
      </c>
      <c r="H71" s="250">
        <v>45810</v>
      </c>
      <c r="I71" s="207">
        <v>2</v>
      </c>
      <c r="J71" s="187" t="s">
        <v>328</v>
      </c>
      <c r="K71" s="235">
        <v>62656</v>
      </c>
      <c r="L71" s="207" t="s">
        <v>334</v>
      </c>
      <c r="M71" s="237"/>
      <c r="N71" s="207"/>
      <c r="O71" s="239"/>
      <c r="P71" s="249">
        <v>46311</v>
      </c>
      <c r="Q71" s="254"/>
      <c r="R71" s="209" t="str">
        <f t="shared" si="1"/>
        <v/>
      </c>
      <c r="S71" s="187"/>
      <c r="AA71" s="230">
        <v>1118</v>
      </c>
    </row>
    <row r="72" spans="1:27" ht="18" customHeight="1">
      <c r="A72" s="230">
        <v>38906</v>
      </c>
      <c r="B72" s="231">
        <v>72440</v>
      </c>
      <c r="C72" s="187" t="s">
        <v>41</v>
      </c>
      <c r="D72" s="230">
        <v>4</v>
      </c>
      <c r="E72" s="232" t="s">
        <v>329</v>
      </c>
      <c r="F72" s="230"/>
      <c r="G72" s="262" t="s">
        <v>247</v>
      </c>
      <c r="H72" s="250">
        <v>45810</v>
      </c>
      <c r="I72" s="207">
        <v>3</v>
      </c>
      <c r="J72" s="187" t="s">
        <v>330</v>
      </c>
      <c r="K72" s="235">
        <v>31479</v>
      </c>
      <c r="L72" s="207" t="s">
        <v>334</v>
      </c>
      <c r="M72" s="237"/>
      <c r="N72" s="207"/>
      <c r="O72" s="239"/>
      <c r="P72" s="249">
        <v>46311</v>
      </c>
      <c r="Q72" s="254"/>
      <c r="R72" s="209" t="str">
        <f t="shared" si="1"/>
        <v/>
      </c>
      <c r="S72" s="187"/>
    </row>
    <row r="73" spans="1:27" ht="18" customHeight="1">
      <c r="A73" s="230">
        <v>38906</v>
      </c>
      <c r="B73" s="231">
        <v>72441</v>
      </c>
      <c r="C73" s="187" t="s">
        <v>41</v>
      </c>
      <c r="D73" s="230">
        <v>6</v>
      </c>
      <c r="E73" s="373" t="s">
        <v>331</v>
      </c>
      <c r="F73" s="230"/>
      <c r="G73" s="262" t="s">
        <v>247</v>
      </c>
      <c r="H73" s="250" t="s">
        <v>332</v>
      </c>
      <c r="I73" s="207">
        <v>4</v>
      </c>
      <c r="J73" s="187" t="s">
        <v>333</v>
      </c>
      <c r="K73" s="235">
        <v>582</v>
      </c>
      <c r="L73" s="207" t="s">
        <v>334</v>
      </c>
      <c r="M73" s="237"/>
      <c r="N73" s="207"/>
      <c r="O73" s="239"/>
      <c r="P73" s="249">
        <v>46311</v>
      </c>
      <c r="Q73" s="254"/>
      <c r="R73" s="209" t="str">
        <f t="shared" si="1"/>
        <v/>
      </c>
      <c r="S73" s="187"/>
    </row>
    <row r="74" spans="1:27" ht="18" customHeight="1">
      <c r="A74" s="230"/>
      <c r="B74" s="231"/>
      <c r="C74" s="187"/>
      <c r="D74" s="230"/>
      <c r="E74" s="232"/>
      <c r="F74" s="230"/>
      <c r="G74" s="187"/>
      <c r="H74" s="250"/>
      <c r="J74" s="187"/>
      <c r="M74" s="237"/>
      <c r="N74" s="207"/>
      <c r="O74" s="239"/>
      <c r="P74" s="249"/>
      <c r="Q74" s="254"/>
      <c r="R74" s="209" t="str">
        <f t="shared" si="1"/>
        <v/>
      </c>
      <c r="S74" s="187"/>
      <c r="AA74" s="230">
        <v>1123</v>
      </c>
    </row>
    <row r="75" spans="1:27" ht="18" customHeight="1">
      <c r="A75" s="230">
        <v>38935</v>
      </c>
      <c r="B75" s="231">
        <v>72517</v>
      </c>
      <c r="C75" s="187" t="s">
        <v>41</v>
      </c>
      <c r="D75" s="230">
        <v>3</v>
      </c>
      <c r="E75" s="373" t="s">
        <v>336</v>
      </c>
      <c r="F75" s="230"/>
      <c r="G75" s="262" t="s">
        <v>247</v>
      </c>
      <c r="H75" s="250">
        <v>45835</v>
      </c>
      <c r="I75" s="207">
        <v>1</v>
      </c>
      <c r="J75" s="187" t="s">
        <v>337</v>
      </c>
      <c r="K75" s="235">
        <v>253143</v>
      </c>
      <c r="L75" s="354" t="s">
        <v>585</v>
      </c>
      <c r="M75" s="237"/>
      <c r="N75" s="207"/>
      <c r="O75" s="239"/>
      <c r="P75" s="249">
        <v>45978</v>
      </c>
      <c r="Q75" s="254"/>
      <c r="R75" s="209" t="str">
        <f t="shared" si="1"/>
        <v/>
      </c>
      <c r="S75" s="187"/>
      <c r="AA75" s="230">
        <v>1124</v>
      </c>
    </row>
    <row r="76" spans="1:27" ht="18" customHeight="1">
      <c r="A76" s="230"/>
      <c r="B76" s="231"/>
      <c r="C76" s="187"/>
      <c r="D76" s="230"/>
      <c r="E76" s="232"/>
      <c r="F76" s="230"/>
      <c r="G76" s="187"/>
      <c r="H76" s="250"/>
      <c r="J76" s="187"/>
      <c r="M76" s="237"/>
      <c r="N76" s="207"/>
      <c r="O76" s="239"/>
      <c r="P76" s="249"/>
      <c r="Q76" s="254"/>
      <c r="R76" s="209" t="str">
        <f t="shared" si="1"/>
        <v/>
      </c>
      <c r="S76" s="187"/>
      <c r="AA76" s="230">
        <v>1125</v>
      </c>
    </row>
    <row r="77" spans="1:27" ht="18" customHeight="1">
      <c r="A77" s="230">
        <v>38971</v>
      </c>
      <c r="B77" s="231">
        <v>72600</v>
      </c>
      <c r="C77" s="187" t="s">
        <v>340</v>
      </c>
      <c r="D77" s="230">
        <v>1</v>
      </c>
      <c r="E77" s="232" t="s">
        <v>341</v>
      </c>
      <c r="F77" s="230" t="s">
        <v>234</v>
      </c>
      <c r="G77" s="187" t="s">
        <v>343</v>
      </c>
      <c r="H77" s="250">
        <v>45862</v>
      </c>
      <c r="I77" s="207">
        <v>1</v>
      </c>
      <c r="J77" s="187" t="s">
        <v>344</v>
      </c>
      <c r="K77" s="235" t="s">
        <v>253</v>
      </c>
      <c r="L77" s="207" t="s">
        <v>350</v>
      </c>
      <c r="M77" s="237"/>
      <c r="N77" s="207"/>
      <c r="O77" s="239"/>
      <c r="P77" s="249">
        <v>45891</v>
      </c>
      <c r="Q77" s="254"/>
      <c r="R77" s="209" t="str">
        <f t="shared" si="1"/>
        <v/>
      </c>
      <c r="S77" s="187"/>
    </row>
    <row r="78" spans="1:27" ht="18" customHeight="1">
      <c r="A78" s="230">
        <v>38971</v>
      </c>
      <c r="B78" s="231">
        <v>72600</v>
      </c>
      <c r="C78" s="187" t="s">
        <v>340</v>
      </c>
      <c r="D78" s="230">
        <v>1</v>
      </c>
      <c r="E78" s="232" t="s">
        <v>345</v>
      </c>
      <c r="F78" s="230" t="s">
        <v>342</v>
      </c>
      <c r="G78" s="187" t="s">
        <v>343</v>
      </c>
      <c r="H78" s="250">
        <v>45862</v>
      </c>
      <c r="I78" s="207">
        <v>2</v>
      </c>
      <c r="J78" s="187" t="s">
        <v>346</v>
      </c>
      <c r="K78" s="235" t="s">
        <v>349</v>
      </c>
      <c r="L78" s="207" t="s">
        <v>350</v>
      </c>
      <c r="M78" s="237"/>
      <c r="N78" s="207"/>
      <c r="O78" s="239"/>
      <c r="P78" s="249">
        <v>45891</v>
      </c>
      <c r="Q78" s="254"/>
      <c r="R78" s="209" t="str">
        <f t="shared" si="1"/>
        <v/>
      </c>
      <c r="S78" s="187"/>
      <c r="AA78" s="230">
        <v>1130</v>
      </c>
    </row>
    <row r="79" spans="1:27" ht="18" customHeight="1">
      <c r="A79" s="230">
        <v>38971</v>
      </c>
      <c r="B79" s="231">
        <v>72601</v>
      </c>
      <c r="C79" s="187" t="s">
        <v>340</v>
      </c>
      <c r="D79" s="230">
        <v>1</v>
      </c>
      <c r="E79" s="232" t="s">
        <v>347</v>
      </c>
      <c r="F79" s="230" t="s">
        <v>342</v>
      </c>
      <c r="G79" s="187" t="s">
        <v>343</v>
      </c>
      <c r="H79" s="250">
        <v>45862</v>
      </c>
      <c r="I79" s="207">
        <v>3</v>
      </c>
      <c r="J79" s="187" t="s">
        <v>348</v>
      </c>
      <c r="K79" s="235">
        <v>1950</v>
      </c>
      <c r="L79" s="207" t="s">
        <v>350</v>
      </c>
      <c r="M79" s="237"/>
      <c r="N79" s="207"/>
      <c r="O79" s="239"/>
      <c r="P79" s="249">
        <v>45891</v>
      </c>
      <c r="Q79" s="254"/>
      <c r="R79" s="209" t="str">
        <f t="shared" si="1"/>
        <v/>
      </c>
      <c r="S79" s="187"/>
      <c r="AA79" s="230">
        <v>1131</v>
      </c>
    </row>
    <row r="80" spans="1:27" ht="18" customHeight="1">
      <c r="A80" s="230"/>
      <c r="B80" s="231"/>
      <c r="C80" s="187"/>
      <c r="D80" s="230"/>
      <c r="E80" s="232"/>
      <c r="F80" s="230"/>
      <c r="G80" s="187"/>
      <c r="H80" s="250"/>
      <c r="J80" s="187"/>
      <c r="M80" s="237"/>
      <c r="N80" s="207"/>
      <c r="O80" s="239"/>
      <c r="P80" s="249"/>
      <c r="Q80" s="254"/>
      <c r="R80" s="209" t="str">
        <f t="shared" si="1"/>
        <v/>
      </c>
      <c r="S80" s="187"/>
      <c r="AA80" s="230">
        <v>1131</v>
      </c>
    </row>
    <row r="81" spans="1:27" ht="18" customHeight="1">
      <c r="A81" s="230">
        <v>38973</v>
      </c>
      <c r="B81" s="231">
        <v>72605</v>
      </c>
      <c r="C81" s="187" t="s">
        <v>41</v>
      </c>
      <c r="D81" s="230">
        <v>18</v>
      </c>
      <c r="E81" s="373" t="s">
        <v>351</v>
      </c>
      <c r="F81" s="237">
        <v>1</v>
      </c>
      <c r="G81" s="262" t="s">
        <v>231</v>
      </c>
      <c r="H81" s="250">
        <v>45863</v>
      </c>
      <c r="I81" s="207">
        <v>1</v>
      </c>
      <c r="J81" s="187" t="s">
        <v>352</v>
      </c>
      <c r="K81" s="235">
        <v>24549</v>
      </c>
      <c r="L81" s="354" t="s">
        <v>584</v>
      </c>
      <c r="M81" s="237"/>
      <c r="N81" s="207"/>
      <c r="O81" s="239"/>
      <c r="P81" s="249">
        <v>46010</v>
      </c>
      <c r="Q81" s="254"/>
      <c r="R81" s="209" t="str">
        <f t="shared" si="1"/>
        <v/>
      </c>
      <c r="S81" s="187"/>
    </row>
    <row r="82" spans="1:27" ht="18" customHeight="1">
      <c r="A82" s="230">
        <v>38973</v>
      </c>
      <c r="B82" s="231">
        <v>72606</v>
      </c>
      <c r="C82" s="187" t="s">
        <v>41</v>
      </c>
      <c r="D82" s="230" t="s">
        <v>538</v>
      </c>
      <c r="E82" s="373" t="s">
        <v>353</v>
      </c>
      <c r="F82" s="237">
        <v>1</v>
      </c>
      <c r="G82" s="262" t="s">
        <v>231</v>
      </c>
      <c r="H82" s="250">
        <v>45863</v>
      </c>
      <c r="I82" s="207">
        <v>2</v>
      </c>
      <c r="J82" s="187" t="s">
        <v>354</v>
      </c>
      <c r="K82" s="235">
        <v>9820</v>
      </c>
      <c r="L82" s="354" t="s">
        <v>584</v>
      </c>
      <c r="M82" s="237"/>
      <c r="N82" s="207"/>
      <c r="O82" s="239"/>
      <c r="P82" s="249">
        <v>46010</v>
      </c>
      <c r="Q82" s="254"/>
      <c r="R82" s="209" t="str">
        <f t="shared" si="1"/>
        <v/>
      </c>
      <c r="S82" s="187"/>
      <c r="AA82" s="230">
        <v>1132</v>
      </c>
    </row>
    <row r="83" spans="1:27" ht="18" customHeight="1">
      <c r="A83" s="230"/>
      <c r="B83" s="231"/>
      <c r="C83" s="187"/>
      <c r="D83" s="230"/>
      <c r="E83" s="232"/>
      <c r="F83" s="230"/>
      <c r="G83" s="187"/>
      <c r="H83" s="250"/>
      <c r="J83" s="187"/>
      <c r="M83" s="237"/>
      <c r="N83" s="207"/>
      <c r="O83" s="239"/>
      <c r="P83" s="249"/>
      <c r="Q83" s="254"/>
      <c r="R83" s="209" t="str">
        <f t="shared" si="1"/>
        <v/>
      </c>
      <c r="S83" s="187"/>
      <c r="AA83" s="230">
        <v>1133</v>
      </c>
    </row>
    <row r="84" spans="1:27" ht="18" customHeight="1">
      <c r="A84" s="230">
        <v>38988</v>
      </c>
      <c r="B84" s="231">
        <v>72622</v>
      </c>
      <c r="C84" s="187" t="s">
        <v>41</v>
      </c>
      <c r="D84" s="230">
        <v>3</v>
      </c>
      <c r="E84" s="373" t="s">
        <v>250</v>
      </c>
      <c r="F84" s="230">
        <v>6</v>
      </c>
      <c r="G84" s="262" t="s">
        <v>231</v>
      </c>
      <c r="H84" s="250">
        <v>45870</v>
      </c>
      <c r="I84" s="207">
        <v>1</v>
      </c>
      <c r="J84" s="187" t="s">
        <v>356</v>
      </c>
      <c r="K84" s="235">
        <v>31966.9</v>
      </c>
      <c r="L84" s="207" t="s">
        <v>358</v>
      </c>
      <c r="M84" s="237"/>
      <c r="N84" s="207"/>
      <c r="O84" s="239"/>
      <c r="P84" s="249">
        <v>46019</v>
      </c>
      <c r="Q84" s="254"/>
      <c r="R84" s="209" t="str">
        <f t="shared" si="1"/>
        <v/>
      </c>
      <c r="S84" s="187"/>
    </row>
    <row r="85" spans="1:27" ht="18" customHeight="1">
      <c r="A85" s="230">
        <v>38988</v>
      </c>
      <c r="B85" s="231">
        <v>72623</v>
      </c>
      <c r="C85" s="187" t="s">
        <v>41</v>
      </c>
      <c r="D85" s="230">
        <v>2</v>
      </c>
      <c r="E85" s="373" t="s">
        <v>252</v>
      </c>
      <c r="F85" s="230">
        <v>3</v>
      </c>
      <c r="G85" s="262" t="s">
        <v>231</v>
      </c>
      <c r="H85" s="250">
        <v>45870</v>
      </c>
      <c r="I85" s="207">
        <v>2</v>
      </c>
      <c r="J85" s="187" t="s">
        <v>357</v>
      </c>
      <c r="K85" s="235">
        <v>32310.9</v>
      </c>
      <c r="L85" s="207" t="s">
        <v>358</v>
      </c>
      <c r="M85" s="237"/>
      <c r="N85" s="207"/>
      <c r="O85" s="239"/>
      <c r="P85" s="249">
        <v>46019</v>
      </c>
      <c r="Q85" s="254"/>
      <c r="R85" s="209" t="str">
        <f t="shared" si="1"/>
        <v/>
      </c>
      <c r="S85" s="187"/>
      <c r="AA85" s="230">
        <v>1134</v>
      </c>
    </row>
    <row r="86" spans="1:27" ht="18" customHeight="1">
      <c r="A86" s="230"/>
      <c r="B86" s="231"/>
      <c r="C86" s="187"/>
      <c r="D86" s="230"/>
      <c r="E86" s="232"/>
      <c r="F86" s="230"/>
      <c r="G86" s="187"/>
      <c r="H86" s="250"/>
      <c r="J86" s="187"/>
      <c r="M86" s="237"/>
      <c r="N86" s="207"/>
      <c r="O86" s="239"/>
      <c r="P86" s="249"/>
      <c r="Q86" s="254"/>
      <c r="R86" s="209" t="str">
        <f t="shared" si="1"/>
        <v/>
      </c>
      <c r="S86" s="187"/>
    </row>
    <row r="87" spans="1:27" ht="18" customHeight="1">
      <c r="A87" s="230">
        <v>38990</v>
      </c>
      <c r="B87" s="231">
        <v>72625</v>
      </c>
      <c r="C87" s="187" t="s">
        <v>41</v>
      </c>
      <c r="D87" s="230">
        <v>4</v>
      </c>
      <c r="E87" s="373" t="s">
        <v>359</v>
      </c>
      <c r="F87" s="230"/>
      <c r="G87" s="262" t="s">
        <v>265</v>
      </c>
      <c r="H87" s="250">
        <v>45874</v>
      </c>
      <c r="I87" s="207">
        <v>1</v>
      </c>
      <c r="J87" s="187" t="s">
        <v>360</v>
      </c>
      <c r="K87" s="235">
        <v>1612</v>
      </c>
      <c r="L87" s="321" t="s">
        <v>518</v>
      </c>
      <c r="M87" s="237"/>
      <c r="N87" s="207"/>
      <c r="O87" s="239" t="s">
        <v>574</v>
      </c>
      <c r="P87" s="249">
        <v>46170</v>
      </c>
      <c r="Q87" s="254"/>
      <c r="R87" s="209" t="str">
        <f t="shared" si="1"/>
        <v/>
      </c>
      <c r="S87" s="187"/>
      <c r="AA87" s="230">
        <v>1136</v>
      </c>
    </row>
    <row r="88" spans="1:27" ht="18" customHeight="1">
      <c r="A88" s="230">
        <v>38990</v>
      </c>
      <c r="B88" s="231">
        <v>72626</v>
      </c>
      <c r="C88" s="187" t="s">
        <v>41</v>
      </c>
      <c r="D88" s="230">
        <v>4</v>
      </c>
      <c r="E88" s="373" t="s">
        <v>361</v>
      </c>
      <c r="F88" s="230"/>
      <c r="G88" s="262" t="s">
        <v>265</v>
      </c>
      <c r="H88" s="250">
        <v>45874</v>
      </c>
      <c r="I88" s="207">
        <v>2</v>
      </c>
      <c r="J88" s="187" t="s">
        <v>362</v>
      </c>
      <c r="K88" s="235">
        <v>1258</v>
      </c>
      <c r="L88" s="321" t="s">
        <v>518</v>
      </c>
      <c r="M88" s="237"/>
      <c r="N88" s="207"/>
      <c r="O88" s="239"/>
      <c r="P88" s="249">
        <v>46170</v>
      </c>
      <c r="Q88" s="254"/>
      <c r="R88" s="209" t="str">
        <f t="shared" si="1"/>
        <v/>
      </c>
      <c r="S88" s="187"/>
    </row>
    <row r="89" spans="1:27" ht="18" customHeight="1">
      <c r="A89" s="230">
        <v>38990</v>
      </c>
      <c r="B89" s="231">
        <v>72627</v>
      </c>
      <c r="C89" s="187" t="s">
        <v>41</v>
      </c>
      <c r="D89" s="230">
        <v>3</v>
      </c>
      <c r="E89" s="232" t="s">
        <v>364</v>
      </c>
      <c r="F89" s="230"/>
      <c r="G89" s="262" t="s">
        <v>265</v>
      </c>
      <c r="H89" s="250">
        <v>45874</v>
      </c>
      <c r="I89" s="207">
        <v>3</v>
      </c>
      <c r="J89" s="187" t="s">
        <v>363</v>
      </c>
      <c r="K89" s="235">
        <v>10765</v>
      </c>
      <c r="L89" s="321" t="s">
        <v>518</v>
      </c>
      <c r="M89" s="237"/>
      <c r="N89" s="207"/>
      <c r="O89" s="239"/>
      <c r="P89" s="249">
        <v>46170</v>
      </c>
      <c r="Q89" s="254"/>
      <c r="R89" s="209" t="str">
        <f t="shared" si="1"/>
        <v/>
      </c>
      <c r="S89" s="187"/>
      <c r="AA89" s="230">
        <v>1139</v>
      </c>
    </row>
    <row r="90" spans="1:27" ht="18" customHeight="1">
      <c r="A90" s="230">
        <v>38990</v>
      </c>
      <c r="B90" s="231">
        <v>72628</v>
      </c>
      <c r="C90" s="187" t="s">
        <v>41</v>
      </c>
      <c r="D90" s="230">
        <v>3</v>
      </c>
      <c r="E90" s="373" t="s">
        <v>365</v>
      </c>
      <c r="F90" s="230"/>
      <c r="G90" s="262" t="s">
        <v>265</v>
      </c>
      <c r="H90" s="250">
        <v>45874</v>
      </c>
      <c r="I90" s="207">
        <v>4</v>
      </c>
      <c r="J90" s="187" t="s">
        <v>366</v>
      </c>
      <c r="K90" s="235">
        <v>27754</v>
      </c>
      <c r="L90" s="321" t="s">
        <v>518</v>
      </c>
      <c r="M90" s="237"/>
      <c r="N90" s="207"/>
      <c r="O90" s="239"/>
      <c r="P90" s="249">
        <v>46170</v>
      </c>
      <c r="Q90" s="254"/>
      <c r="R90" s="209" t="str">
        <f t="shared" si="1"/>
        <v/>
      </c>
      <c r="S90" s="187"/>
      <c r="AA90" s="230">
        <v>1139</v>
      </c>
    </row>
    <row r="91" spans="1:27" ht="18" customHeight="1">
      <c r="A91" s="230">
        <v>38990</v>
      </c>
      <c r="B91" s="231">
        <v>72629</v>
      </c>
      <c r="C91" s="187" t="s">
        <v>41</v>
      </c>
      <c r="D91" s="230">
        <v>5</v>
      </c>
      <c r="E91" s="373" t="s">
        <v>367</v>
      </c>
      <c r="F91" s="230"/>
      <c r="G91" s="262" t="s">
        <v>265</v>
      </c>
      <c r="H91" s="250">
        <v>45874</v>
      </c>
      <c r="I91" s="207">
        <v>5</v>
      </c>
      <c r="J91" s="187" t="s">
        <v>368</v>
      </c>
      <c r="K91" s="235">
        <v>10517</v>
      </c>
      <c r="L91" s="321" t="s">
        <v>518</v>
      </c>
      <c r="M91" s="237"/>
      <c r="N91" s="207"/>
      <c r="O91" s="239"/>
      <c r="P91" s="249">
        <v>46170</v>
      </c>
      <c r="Q91" s="254"/>
      <c r="R91" s="209" t="str">
        <f t="shared" si="1"/>
        <v/>
      </c>
      <c r="S91" s="187"/>
    </row>
    <row r="92" spans="1:27" ht="18" customHeight="1">
      <c r="A92" s="230">
        <v>38990</v>
      </c>
      <c r="B92" s="231">
        <v>72630</v>
      </c>
      <c r="C92" s="187" t="s">
        <v>41</v>
      </c>
      <c r="D92" s="230">
        <v>5</v>
      </c>
      <c r="E92" s="373" t="s">
        <v>369</v>
      </c>
      <c r="F92" s="230"/>
      <c r="G92" s="262" t="s">
        <v>265</v>
      </c>
      <c r="H92" s="250">
        <v>45874</v>
      </c>
      <c r="I92" s="207">
        <v>6</v>
      </c>
      <c r="J92" s="187" t="s">
        <v>370</v>
      </c>
      <c r="K92" s="235">
        <v>16571</v>
      </c>
      <c r="L92" s="321" t="s">
        <v>518</v>
      </c>
      <c r="M92" s="237"/>
      <c r="N92" s="207"/>
      <c r="O92" s="239"/>
      <c r="P92" s="249">
        <v>46170</v>
      </c>
      <c r="Q92" s="254"/>
      <c r="R92" s="209" t="str">
        <f t="shared" si="1"/>
        <v/>
      </c>
      <c r="S92" s="187"/>
      <c r="AA92" s="230">
        <v>1141</v>
      </c>
    </row>
    <row r="93" spans="1:27" ht="18" customHeight="1">
      <c r="A93" s="230">
        <v>38990</v>
      </c>
      <c r="B93" s="231">
        <v>72631</v>
      </c>
      <c r="C93" s="187" t="s">
        <v>41</v>
      </c>
      <c r="D93" s="230">
        <v>3</v>
      </c>
      <c r="E93" s="373" t="s">
        <v>371</v>
      </c>
      <c r="F93" s="230"/>
      <c r="G93" s="262" t="s">
        <v>265</v>
      </c>
      <c r="H93" s="250">
        <v>45874</v>
      </c>
      <c r="I93" s="207">
        <v>7</v>
      </c>
      <c r="J93" s="187" t="s">
        <v>372</v>
      </c>
      <c r="K93" s="235">
        <v>4197</v>
      </c>
      <c r="L93" s="321" t="s">
        <v>518</v>
      </c>
      <c r="M93" s="237"/>
      <c r="N93" s="207"/>
      <c r="O93" s="239"/>
      <c r="P93" s="249">
        <v>46170</v>
      </c>
      <c r="Q93" s="254"/>
      <c r="R93" s="209" t="str">
        <f t="shared" si="1"/>
        <v/>
      </c>
      <c r="S93" s="187"/>
      <c r="AA93" s="230">
        <v>1142</v>
      </c>
    </row>
    <row r="94" spans="1:27" ht="18" customHeight="1">
      <c r="A94" s="230">
        <v>38990</v>
      </c>
      <c r="B94" s="231">
        <v>72632</v>
      </c>
      <c r="C94" s="187" t="s">
        <v>41</v>
      </c>
      <c r="D94" s="230">
        <v>5</v>
      </c>
      <c r="E94" s="373" t="s">
        <v>373</v>
      </c>
      <c r="F94" s="230"/>
      <c r="G94" s="262" t="s">
        <v>265</v>
      </c>
      <c r="H94" s="250">
        <v>45874</v>
      </c>
      <c r="I94" s="207">
        <v>8</v>
      </c>
      <c r="J94" s="187" t="s">
        <v>374</v>
      </c>
      <c r="K94" s="235">
        <v>4192</v>
      </c>
      <c r="L94" s="321" t="s">
        <v>518</v>
      </c>
      <c r="M94" s="237"/>
      <c r="N94" s="207"/>
      <c r="O94" s="239"/>
      <c r="P94" s="249">
        <v>46170</v>
      </c>
      <c r="Q94" s="254"/>
      <c r="R94" s="209" t="str">
        <f t="shared" si="1"/>
        <v/>
      </c>
      <c r="S94" s="187"/>
      <c r="AA94" s="230">
        <v>1143</v>
      </c>
    </row>
    <row r="95" spans="1:27" ht="18" customHeight="1">
      <c r="A95" s="230">
        <v>38990</v>
      </c>
      <c r="B95" s="231">
        <v>72633</v>
      </c>
      <c r="C95" s="187" t="s">
        <v>41</v>
      </c>
      <c r="D95" s="230">
        <v>5</v>
      </c>
      <c r="E95" s="373" t="s">
        <v>375</v>
      </c>
      <c r="F95" s="230"/>
      <c r="G95" s="262" t="s">
        <v>265</v>
      </c>
      <c r="H95" s="250">
        <v>45874</v>
      </c>
      <c r="I95" s="207">
        <v>9</v>
      </c>
      <c r="J95" s="187" t="s">
        <v>376</v>
      </c>
      <c r="K95" s="235">
        <v>46607</v>
      </c>
      <c r="L95" s="321" t="s">
        <v>518</v>
      </c>
      <c r="M95" s="237"/>
      <c r="N95" s="207"/>
      <c r="O95" s="239"/>
      <c r="P95" s="249">
        <v>46170</v>
      </c>
      <c r="Q95" s="254"/>
      <c r="R95" s="209" t="str">
        <f t="shared" si="1"/>
        <v/>
      </c>
      <c r="S95" s="187"/>
      <c r="AA95" s="230">
        <v>1144</v>
      </c>
    </row>
    <row r="96" spans="1:27" ht="18" customHeight="1">
      <c r="A96" s="230">
        <v>38990</v>
      </c>
      <c r="B96" s="231">
        <v>72634</v>
      </c>
      <c r="C96" s="187" t="s">
        <v>41</v>
      </c>
      <c r="D96" s="230">
        <v>6</v>
      </c>
      <c r="E96" s="373" t="s">
        <v>377</v>
      </c>
      <c r="F96" s="230"/>
      <c r="G96" s="262" t="s">
        <v>265</v>
      </c>
      <c r="H96" s="250">
        <v>45874</v>
      </c>
      <c r="I96" s="207">
        <v>10</v>
      </c>
      <c r="J96" s="187" t="s">
        <v>378</v>
      </c>
      <c r="K96" s="235">
        <v>4517</v>
      </c>
      <c r="L96" s="321" t="s">
        <v>518</v>
      </c>
      <c r="M96" s="237"/>
      <c r="N96" s="207"/>
      <c r="O96" s="239"/>
      <c r="P96" s="249">
        <v>46170</v>
      </c>
      <c r="Q96" s="254"/>
      <c r="R96" s="209" t="str">
        <f t="shared" si="1"/>
        <v/>
      </c>
      <c r="S96" s="187"/>
    </row>
    <row r="97" spans="1:27" ht="18" customHeight="1">
      <c r="A97" s="230">
        <v>38990</v>
      </c>
      <c r="B97" s="231">
        <v>72635</v>
      </c>
      <c r="C97" s="187" t="s">
        <v>41</v>
      </c>
      <c r="D97" s="230">
        <v>4</v>
      </c>
      <c r="E97" s="373" t="s">
        <v>525</v>
      </c>
      <c r="F97" s="230"/>
      <c r="G97" s="262" t="s">
        <v>265</v>
      </c>
      <c r="H97" s="250">
        <v>45874</v>
      </c>
      <c r="I97" s="207">
        <v>11</v>
      </c>
      <c r="J97" s="187" t="s">
        <v>379</v>
      </c>
      <c r="K97" s="235">
        <v>12782</v>
      </c>
      <c r="L97" s="321" t="s">
        <v>518</v>
      </c>
      <c r="M97" s="237"/>
      <c r="N97" s="207"/>
      <c r="O97" s="239"/>
      <c r="P97" s="249">
        <v>46170</v>
      </c>
      <c r="Q97" s="254"/>
      <c r="R97" s="209" t="str">
        <f t="shared" si="1"/>
        <v/>
      </c>
      <c r="S97" s="187"/>
      <c r="AA97" s="230">
        <v>1145</v>
      </c>
    </row>
    <row r="98" spans="1:27" ht="18" customHeight="1">
      <c r="A98" s="230"/>
      <c r="B98" s="231"/>
      <c r="C98" s="187"/>
      <c r="D98" s="230"/>
      <c r="E98" s="232"/>
      <c r="F98" s="230"/>
      <c r="G98" s="262"/>
      <c r="H98" s="250"/>
      <c r="J98" s="187"/>
      <c r="L98" s="320"/>
      <c r="M98" s="237"/>
      <c r="N98" s="207"/>
      <c r="O98" s="239"/>
      <c r="P98" s="249"/>
      <c r="Q98" s="254"/>
      <c r="R98" s="209" t="str">
        <f t="shared" si="1"/>
        <v/>
      </c>
      <c r="S98" s="187"/>
      <c r="AA98" s="230">
        <v>1146</v>
      </c>
    </row>
    <row r="99" spans="1:27" ht="18" customHeight="1">
      <c r="A99" s="230">
        <v>39004</v>
      </c>
      <c r="B99" s="231">
        <v>72651</v>
      </c>
      <c r="C99" s="187" t="s">
        <v>41</v>
      </c>
      <c r="D99" s="230">
        <v>3</v>
      </c>
      <c r="E99" s="373" t="s">
        <v>338</v>
      </c>
      <c r="F99" s="230"/>
      <c r="G99" s="319" t="s">
        <v>247</v>
      </c>
      <c r="H99" s="250">
        <v>45885</v>
      </c>
      <c r="I99" s="207">
        <v>1</v>
      </c>
      <c r="J99" s="187" t="s">
        <v>380</v>
      </c>
      <c r="K99" s="235">
        <v>2154</v>
      </c>
      <c r="L99" s="354" t="s">
        <v>846</v>
      </c>
      <c r="M99" s="237"/>
      <c r="N99" s="207"/>
      <c r="O99" s="239"/>
      <c r="P99" s="249">
        <v>46069</v>
      </c>
      <c r="Q99" s="254"/>
      <c r="R99" s="209" t="str">
        <f t="shared" si="1"/>
        <v/>
      </c>
      <c r="S99" s="187"/>
      <c r="AA99" s="230">
        <v>1440</v>
      </c>
    </row>
    <row r="100" spans="1:27" ht="18" customHeight="1">
      <c r="A100" s="230">
        <v>39004</v>
      </c>
      <c r="B100" s="312">
        <v>72651</v>
      </c>
      <c r="C100" s="187" t="s">
        <v>41</v>
      </c>
      <c r="D100" s="230">
        <v>1</v>
      </c>
      <c r="E100" s="373" t="s">
        <v>338</v>
      </c>
      <c r="F100" s="230"/>
      <c r="G100" s="319" t="s">
        <v>247</v>
      </c>
      <c r="H100" s="250">
        <v>45885</v>
      </c>
      <c r="I100" s="207" t="s">
        <v>560</v>
      </c>
      <c r="J100" s="187" t="s">
        <v>380</v>
      </c>
      <c r="K100" s="235">
        <v>2896</v>
      </c>
      <c r="L100" s="354" t="s">
        <v>846</v>
      </c>
      <c r="M100" s="237"/>
      <c r="N100" s="207"/>
      <c r="O100" s="239"/>
      <c r="P100" s="249"/>
      <c r="Q100" s="254"/>
      <c r="R100" s="209" t="str">
        <f t="shared" si="1"/>
        <v/>
      </c>
      <c r="S100" s="187"/>
    </row>
    <row r="101" spans="1:27" ht="18" customHeight="1">
      <c r="A101" s="230">
        <v>39004</v>
      </c>
      <c r="B101" s="231">
        <v>72652</v>
      </c>
      <c r="C101" s="187" t="s">
        <v>41</v>
      </c>
      <c r="D101" s="230">
        <v>3</v>
      </c>
      <c r="E101" s="373" t="s">
        <v>381</v>
      </c>
      <c r="F101" s="230"/>
      <c r="G101" s="319" t="s">
        <v>247</v>
      </c>
      <c r="H101" s="250">
        <v>45885</v>
      </c>
      <c r="I101" s="207">
        <v>2</v>
      </c>
      <c r="J101" s="187" t="s">
        <v>382</v>
      </c>
      <c r="K101" s="235">
        <v>25597</v>
      </c>
      <c r="L101" s="354" t="s">
        <v>846</v>
      </c>
      <c r="M101" s="237"/>
      <c r="N101" s="207"/>
      <c r="O101" s="239"/>
      <c r="P101" s="249">
        <v>46069</v>
      </c>
      <c r="Q101" s="254"/>
      <c r="R101" s="209" t="str">
        <f t="shared" si="1"/>
        <v/>
      </c>
      <c r="S101" s="187"/>
    </row>
    <row r="102" spans="1:27" ht="18" customHeight="1">
      <c r="A102" s="230">
        <v>39004</v>
      </c>
      <c r="B102" s="231">
        <v>72653</v>
      </c>
      <c r="C102" s="187" t="s">
        <v>41</v>
      </c>
      <c r="D102" s="230">
        <v>2</v>
      </c>
      <c r="E102" s="373" t="s">
        <v>383</v>
      </c>
      <c r="F102" s="230"/>
      <c r="G102" s="319" t="s">
        <v>247</v>
      </c>
      <c r="H102" s="250">
        <v>45885</v>
      </c>
      <c r="I102" s="207">
        <v>3</v>
      </c>
      <c r="J102" s="187" t="s">
        <v>384</v>
      </c>
      <c r="K102" s="235">
        <v>23777</v>
      </c>
      <c r="L102" s="354" t="s">
        <v>846</v>
      </c>
      <c r="M102" s="237"/>
      <c r="N102" s="207"/>
      <c r="O102" s="239"/>
      <c r="P102" s="249">
        <v>46069</v>
      </c>
      <c r="Q102" s="254"/>
      <c r="R102" s="209" t="str">
        <f t="shared" si="1"/>
        <v/>
      </c>
      <c r="S102" s="187"/>
      <c r="AA102" s="230">
        <v>1443</v>
      </c>
    </row>
    <row r="103" spans="1:27" ht="18" customHeight="1">
      <c r="A103" s="230">
        <v>39004</v>
      </c>
      <c r="B103" s="231">
        <v>72654</v>
      </c>
      <c r="C103" s="187" t="s">
        <v>41</v>
      </c>
      <c r="D103" s="230">
        <v>1</v>
      </c>
      <c r="E103" s="373" t="s">
        <v>385</v>
      </c>
      <c r="F103" s="230"/>
      <c r="G103" s="319" t="s">
        <v>247</v>
      </c>
      <c r="H103" s="250">
        <v>45885</v>
      </c>
      <c r="I103" s="207">
        <v>4</v>
      </c>
      <c r="J103" s="187" t="s">
        <v>386</v>
      </c>
      <c r="K103" s="235">
        <v>17784</v>
      </c>
      <c r="L103" s="354" t="s">
        <v>846</v>
      </c>
      <c r="M103" s="237"/>
      <c r="N103" s="207"/>
      <c r="O103" s="239"/>
      <c r="P103" s="249">
        <v>46069</v>
      </c>
      <c r="Q103" s="254"/>
      <c r="R103" s="209" t="str">
        <f t="shared" si="1"/>
        <v/>
      </c>
      <c r="S103" s="187"/>
      <c r="AA103" s="230">
        <v>1445</v>
      </c>
    </row>
    <row r="104" spans="1:27" ht="18" customHeight="1">
      <c r="A104" s="230"/>
      <c r="B104" s="231"/>
      <c r="C104" s="187"/>
      <c r="D104" s="230"/>
      <c r="E104" s="232"/>
      <c r="F104" s="230"/>
      <c r="G104" s="187"/>
      <c r="H104" s="250"/>
      <c r="J104" s="187"/>
      <c r="M104" s="237"/>
      <c r="N104" s="207"/>
      <c r="O104" s="239"/>
      <c r="P104" s="249"/>
      <c r="Q104" s="254"/>
      <c r="R104" s="209" t="str">
        <f t="shared" si="1"/>
        <v/>
      </c>
      <c r="S104" s="187"/>
    </row>
    <row r="105" spans="1:27" ht="18" customHeight="1">
      <c r="A105" s="328">
        <v>39016</v>
      </c>
      <c r="B105" s="329">
        <v>72692</v>
      </c>
      <c r="C105" s="330" t="s">
        <v>41</v>
      </c>
      <c r="D105" s="328">
        <v>2</v>
      </c>
      <c r="E105" s="374" t="s">
        <v>387</v>
      </c>
      <c r="F105" s="328"/>
      <c r="G105" s="332" t="s">
        <v>265</v>
      </c>
      <c r="H105" s="333">
        <v>45898</v>
      </c>
      <c r="I105" s="334">
        <v>1</v>
      </c>
      <c r="J105" s="330" t="s">
        <v>388</v>
      </c>
      <c r="K105" s="335">
        <v>17821</v>
      </c>
      <c r="L105" s="334" t="s">
        <v>421</v>
      </c>
      <c r="M105" s="336"/>
      <c r="N105" s="334"/>
      <c r="O105" s="337"/>
      <c r="P105" s="338">
        <v>46142</v>
      </c>
      <c r="Q105" s="254"/>
      <c r="R105" s="209" t="str">
        <f t="shared" si="1"/>
        <v/>
      </c>
      <c r="S105" s="187"/>
      <c r="AA105" s="230">
        <v>1446</v>
      </c>
    </row>
    <row r="106" spans="1:27" ht="18" customHeight="1">
      <c r="A106" s="328">
        <v>39016</v>
      </c>
      <c r="B106" s="329">
        <v>72693</v>
      </c>
      <c r="C106" s="330" t="s">
        <v>41</v>
      </c>
      <c r="D106" s="328">
        <v>2</v>
      </c>
      <c r="E106" s="374" t="s">
        <v>389</v>
      </c>
      <c r="F106" s="328"/>
      <c r="G106" s="332" t="s">
        <v>265</v>
      </c>
      <c r="H106" s="333">
        <v>45898</v>
      </c>
      <c r="I106" s="334">
        <v>2</v>
      </c>
      <c r="J106" s="330" t="s">
        <v>390</v>
      </c>
      <c r="K106" s="335">
        <v>38376</v>
      </c>
      <c r="L106" s="334" t="s">
        <v>421</v>
      </c>
      <c r="M106" s="336"/>
      <c r="N106" s="334"/>
      <c r="O106" s="337"/>
      <c r="P106" s="338">
        <v>46142</v>
      </c>
      <c r="Q106" s="254"/>
      <c r="R106" s="209" t="str">
        <f t="shared" si="1"/>
        <v/>
      </c>
      <c r="S106" s="187"/>
    </row>
    <row r="107" spans="1:27" ht="18" customHeight="1">
      <c r="A107" s="328">
        <v>39016</v>
      </c>
      <c r="B107" s="329">
        <v>72694</v>
      </c>
      <c r="C107" s="330" t="s">
        <v>41</v>
      </c>
      <c r="D107" s="328">
        <v>2</v>
      </c>
      <c r="E107" s="374" t="s">
        <v>391</v>
      </c>
      <c r="F107" s="328"/>
      <c r="G107" s="332" t="s">
        <v>265</v>
      </c>
      <c r="H107" s="333">
        <v>45898</v>
      </c>
      <c r="I107" s="334">
        <v>3</v>
      </c>
      <c r="J107" s="330" t="s">
        <v>392</v>
      </c>
      <c r="K107" s="335">
        <v>2911</v>
      </c>
      <c r="L107" s="334" t="s">
        <v>421</v>
      </c>
      <c r="M107" s="336"/>
      <c r="N107" s="334"/>
      <c r="O107" s="337"/>
      <c r="P107" s="338">
        <v>46142</v>
      </c>
      <c r="Q107" s="254"/>
      <c r="R107" s="209" t="str">
        <f t="shared" si="1"/>
        <v/>
      </c>
      <c r="S107" s="187"/>
      <c r="AA107" s="230">
        <v>1447</v>
      </c>
    </row>
    <row r="108" spans="1:27" ht="18" customHeight="1">
      <c r="A108" s="328">
        <v>39016</v>
      </c>
      <c r="B108" s="329">
        <v>72695</v>
      </c>
      <c r="C108" s="330" t="s">
        <v>41</v>
      </c>
      <c r="D108" s="328">
        <v>2</v>
      </c>
      <c r="E108" s="331" t="s">
        <v>393</v>
      </c>
      <c r="F108" s="328"/>
      <c r="G108" s="332" t="s">
        <v>265</v>
      </c>
      <c r="H108" s="333">
        <v>45898</v>
      </c>
      <c r="I108" s="334">
        <v>4</v>
      </c>
      <c r="J108" s="330" t="s">
        <v>394</v>
      </c>
      <c r="K108" s="335">
        <v>4617</v>
      </c>
      <c r="L108" s="334" t="s">
        <v>421</v>
      </c>
      <c r="M108" s="336"/>
      <c r="N108" s="334"/>
      <c r="O108" s="337"/>
      <c r="P108" s="338">
        <v>46142</v>
      </c>
      <c r="Q108" s="254"/>
      <c r="R108" s="209" t="str">
        <f t="shared" si="1"/>
        <v/>
      </c>
      <c r="S108" s="187"/>
    </row>
    <row r="109" spans="1:27" ht="18" customHeight="1">
      <c r="A109" s="328">
        <v>39016</v>
      </c>
      <c r="B109" s="329">
        <v>72696</v>
      </c>
      <c r="C109" s="330" t="s">
        <v>41</v>
      </c>
      <c r="D109" s="328">
        <v>6</v>
      </c>
      <c r="E109" s="374" t="s">
        <v>395</v>
      </c>
      <c r="F109" s="328"/>
      <c r="G109" s="332" t="s">
        <v>265</v>
      </c>
      <c r="H109" s="333">
        <v>45898</v>
      </c>
      <c r="I109" s="334">
        <v>5</v>
      </c>
      <c r="J109" s="330" t="s">
        <v>396</v>
      </c>
      <c r="K109" s="335">
        <v>10453</v>
      </c>
      <c r="L109" s="334" t="s">
        <v>421</v>
      </c>
      <c r="M109" s="336"/>
      <c r="N109" s="334"/>
      <c r="O109" s="337"/>
      <c r="P109" s="338">
        <v>46142</v>
      </c>
      <c r="Q109" s="254"/>
      <c r="R109" s="209" t="str">
        <f t="shared" si="1"/>
        <v/>
      </c>
      <c r="S109" s="187"/>
      <c r="AA109" s="230">
        <v>1448</v>
      </c>
    </row>
    <row r="110" spans="1:27" ht="18" customHeight="1">
      <c r="A110" s="328">
        <v>39016</v>
      </c>
      <c r="B110" s="329">
        <v>72697</v>
      </c>
      <c r="C110" s="330" t="s">
        <v>41</v>
      </c>
      <c r="D110" s="328">
        <v>2</v>
      </c>
      <c r="E110" s="374" t="s">
        <v>397</v>
      </c>
      <c r="F110" s="328"/>
      <c r="G110" s="332" t="s">
        <v>265</v>
      </c>
      <c r="H110" s="333">
        <v>45898</v>
      </c>
      <c r="I110" s="334">
        <v>6</v>
      </c>
      <c r="J110" s="330" t="s">
        <v>398</v>
      </c>
      <c r="K110" s="335">
        <v>79970</v>
      </c>
      <c r="L110" s="334" t="s">
        <v>421</v>
      </c>
      <c r="M110" s="336"/>
      <c r="N110" s="334"/>
      <c r="O110" s="337"/>
      <c r="P110" s="338">
        <v>46142</v>
      </c>
      <c r="Q110" s="254"/>
      <c r="R110" s="209" t="str">
        <f t="shared" si="1"/>
        <v/>
      </c>
      <c r="S110" s="187"/>
    </row>
    <row r="111" spans="1:27" ht="18" customHeight="1">
      <c r="A111" s="328">
        <v>39016</v>
      </c>
      <c r="B111" s="312">
        <v>72698</v>
      </c>
      <c r="C111" s="330" t="s">
        <v>41</v>
      </c>
      <c r="D111" s="328">
        <v>2</v>
      </c>
      <c r="E111" s="374" t="s">
        <v>399</v>
      </c>
      <c r="F111" s="328"/>
      <c r="G111" s="332" t="s">
        <v>265</v>
      </c>
      <c r="H111" s="333">
        <v>45898</v>
      </c>
      <c r="I111" s="334">
        <v>7</v>
      </c>
      <c r="J111" s="330" t="s">
        <v>400</v>
      </c>
      <c r="K111" s="335">
        <v>50363</v>
      </c>
      <c r="L111" s="334" t="s">
        <v>421</v>
      </c>
      <c r="M111" s="336"/>
      <c r="N111" s="334"/>
      <c r="O111" s="337"/>
      <c r="P111" s="338">
        <v>46142</v>
      </c>
      <c r="Q111" s="254"/>
      <c r="R111" s="209" t="str">
        <f t="shared" si="1"/>
        <v/>
      </c>
      <c r="S111" s="187"/>
      <c r="AA111" s="230">
        <v>1449</v>
      </c>
    </row>
    <row r="112" spans="1:27" ht="18" customHeight="1">
      <c r="A112" s="328">
        <v>39016</v>
      </c>
      <c r="B112" s="329">
        <v>72699</v>
      </c>
      <c r="C112" s="330" t="s">
        <v>41</v>
      </c>
      <c r="D112" s="328">
        <v>1</v>
      </c>
      <c r="E112" s="374" t="s">
        <v>401</v>
      </c>
      <c r="F112" s="328"/>
      <c r="G112" s="332" t="s">
        <v>265</v>
      </c>
      <c r="H112" s="333">
        <v>45898</v>
      </c>
      <c r="I112" s="334">
        <v>8</v>
      </c>
      <c r="J112" s="330" t="s">
        <v>402</v>
      </c>
      <c r="K112" s="335">
        <v>16754</v>
      </c>
      <c r="L112" s="334" t="s">
        <v>421</v>
      </c>
      <c r="M112" s="336"/>
      <c r="N112" s="334"/>
      <c r="O112" s="337"/>
      <c r="P112" s="338">
        <v>46142</v>
      </c>
      <c r="Q112" s="254"/>
      <c r="R112" s="209" t="str">
        <f t="shared" si="1"/>
        <v/>
      </c>
      <c r="S112" s="187"/>
      <c r="AA112" s="230">
        <v>1450</v>
      </c>
    </row>
    <row r="113" spans="1:27" ht="18" customHeight="1">
      <c r="A113" s="328">
        <v>39016</v>
      </c>
      <c r="B113" s="329">
        <v>72700</v>
      </c>
      <c r="C113" s="330" t="s">
        <v>41</v>
      </c>
      <c r="D113" s="328">
        <v>1</v>
      </c>
      <c r="E113" s="374" t="s">
        <v>403</v>
      </c>
      <c r="F113" s="328"/>
      <c r="G113" s="332" t="s">
        <v>265</v>
      </c>
      <c r="H113" s="333">
        <v>45898</v>
      </c>
      <c r="I113" s="334">
        <v>10</v>
      </c>
      <c r="J113" s="330" t="s">
        <v>404</v>
      </c>
      <c r="K113" s="335">
        <v>18455</v>
      </c>
      <c r="L113" s="334" t="s">
        <v>421</v>
      </c>
      <c r="M113" s="336"/>
      <c r="N113" s="334"/>
      <c r="O113" s="337"/>
      <c r="P113" s="338">
        <v>46142</v>
      </c>
      <c r="Q113" s="254"/>
      <c r="R113" s="209" t="str">
        <f t="shared" si="1"/>
        <v/>
      </c>
      <c r="S113" s="187"/>
    </row>
    <row r="114" spans="1:27" ht="18" customHeight="1">
      <c r="A114" s="328">
        <v>39016</v>
      </c>
      <c r="B114" s="329">
        <v>72701</v>
      </c>
      <c r="C114" s="330" t="s">
        <v>41</v>
      </c>
      <c r="D114" s="328">
        <v>2</v>
      </c>
      <c r="E114" s="374" t="s">
        <v>405</v>
      </c>
      <c r="F114" s="328"/>
      <c r="G114" s="332" t="s">
        <v>265</v>
      </c>
      <c r="H114" s="333">
        <v>45898</v>
      </c>
      <c r="I114" s="334">
        <v>11</v>
      </c>
      <c r="J114" s="330" t="s">
        <v>406</v>
      </c>
      <c r="K114" s="335">
        <v>775</v>
      </c>
      <c r="L114" s="334" t="s">
        <v>421</v>
      </c>
      <c r="M114" s="336"/>
      <c r="N114" s="334"/>
      <c r="O114" s="337"/>
      <c r="P114" s="338">
        <v>46142</v>
      </c>
      <c r="Q114" s="254"/>
      <c r="R114" s="209" t="str">
        <f t="shared" si="1"/>
        <v/>
      </c>
      <c r="S114" s="187"/>
      <c r="AA114" s="230">
        <v>1452</v>
      </c>
    </row>
    <row r="115" spans="1:27" ht="18" customHeight="1">
      <c r="A115" s="328">
        <v>39016</v>
      </c>
      <c r="B115" s="329">
        <v>72702</v>
      </c>
      <c r="C115" s="330" t="s">
        <v>41</v>
      </c>
      <c r="D115" s="328">
        <v>2</v>
      </c>
      <c r="E115" s="374" t="s">
        <v>407</v>
      </c>
      <c r="F115" s="328"/>
      <c r="G115" s="332" t="s">
        <v>265</v>
      </c>
      <c r="H115" s="333">
        <v>45898</v>
      </c>
      <c r="I115" s="334">
        <v>12</v>
      </c>
      <c r="J115" s="330" t="s">
        <v>408</v>
      </c>
      <c r="K115" s="335">
        <v>6408</v>
      </c>
      <c r="L115" s="334" t="s">
        <v>421</v>
      </c>
      <c r="M115" s="336"/>
      <c r="N115" s="334"/>
      <c r="O115" s="337"/>
      <c r="P115" s="338">
        <v>46142</v>
      </c>
      <c r="Q115" s="254"/>
      <c r="R115" s="209" t="str">
        <f t="shared" si="1"/>
        <v/>
      </c>
      <c r="S115" s="187"/>
      <c r="AA115" s="230">
        <v>1455</v>
      </c>
    </row>
    <row r="116" spans="1:27" ht="18" customHeight="1">
      <c r="A116" s="328">
        <v>39016</v>
      </c>
      <c r="B116" s="329">
        <v>72703</v>
      </c>
      <c r="C116" s="330" t="s">
        <v>41</v>
      </c>
      <c r="D116" s="328">
        <v>2</v>
      </c>
      <c r="E116" s="374" t="s">
        <v>409</v>
      </c>
      <c r="F116" s="328"/>
      <c r="G116" s="332" t="s">
        <v>265</v>
      </c>
      <c r="H116" s="333">
        <v>45898</v>
      </c>
      <c r="I116" s="334">
        <v>13</v>
      </c>
      <c r="J116" s="330" t="s">
        <v>410</v>
      </c>
      <c r="K116" s="335">
        <v>2057</v>
      </c>
      <c r="L116" s="334" t="s">
        <v>421</v>
      </c>
      <c r="M116" s="336"/>
      <c r="N116" s="334"/>
      <c r="O116" s="337"/>
      <c r="P116" s="338">
        <v>46142</v>
      </c>
      <c r="Q116" s="254"/>
      <c r="R116" s="209" t="str">
        <f t="shared" si="1"/>
        <v/>
      </c>
      <c r="S116" s="187"/>
      <c r="AA116" s="230">
        <v>1457</v>
      </c>
    </row>
    <row r="117" spans="1:27" ht="18" customHeight="1">
      <c r="A117" s="328">
        <v>39016</v>
      </c>
      <c r="B117" s="329">
        <v>72704</v>
      </c>
      <c r="C117" s="330" t="s">
        <v>41</v>
      </c>
      <c r="D117" s="328">
        <v>2</v>
      </c>
      <c r="E117" s="331" t="s">
        <v>411</v>
      </c>
      <c r="F117" s="328"/>
      <c r="G117" s="332" t="s">
        <v>265</v>
      </c>
      <c r="H117" s="333">
        <v>45898</v>
      </c>
      <c r="I117" s="334">
        <v>14</v>
      </c>
      <c r="J117" s="330" t="s">
        <v>412</v>
      </c>
      <c r="K117" s="335">
        <v>70664</v>
      </c>
      <c r="L117" s="334" t="s">
        <v>421</v>
      </c>
      <c r="M117" s="336"/>
      <c r="N117" s="334"/>
      <c r="O117" s="337"/>
      <c r="P117" s="338">
        <v>46142</v>
      </c>
      <c r="Q117" s="254"/>
      <c r="R117" s="209" t="str">
        <f t="shared" si="1"/>
        <v/>
      </c>
      <c r="S117" s="187"/>
    </row>
    <row r="118" spans="1:27" ht="18" customHeight="1">
      <c r="A118" s="328">
        <v>39016</v>
      </c>
      <c r="B118" s="329">
        <v>72705</v>
      </c>
      <c r="C118" s="330" t="s">
        <v>41</v>
      </c>
      <c r="D118" s="328">
        <v>2</v>
      </c>
      <c r="E118" s="374" t="s">
        <v>413</v>
      </c>
      <c r="F118" s="328"/>
      <c r="G118" s="332" t="s">
        <v>265</v>
      </c>
      <c r="H118" s="333">
        <v>45898</v>
      </c>
      <c r="I118" s="334">
        <v>15</v>
      </c>
      <c r="J118" s="330" t="s">
        <v>414</v>
      </c>
      <c r="K118" s="335">
        <v>6646</v>
      </c>
      <c r="L118" s="334" t="s">
        <v>421</v>
      </c>
      <c r="M118" s="336"/>
      <c r="N118" s="334"/>
      <c r="O118" s="337"/>
      <c r="P118" s="338">
        <v>46142</v>
      </c>
      <c r="Q118" s="254"/>
      <c r="R118" s="209" t="str">
        <f t="shared" si="1"/>
        <v/>
      </c>
      <c r="S118" s="187"/>
      <c r="AA118" s="230">
        <v>1459</v>
      </c>
    </row>
    <row r="119" spans="1:27" ht="18" customHeight="1">
      <c r="A119" s="328">
        <v>39016</v>
      </c>
      <c r="B119" s="329">
        <v>72706</v>
      </c>
      <c r="C119" s="330" t="s">
        <v>41</v>
      </c>
      <c r="D119" s="328">
        <v>2</v>
      </c>
      <c r="E119" s="374" t="s">
        <v>415</v>
      </c>
      <c r="F119" s="328"/>
      <c r="G119" s="332" t="s">
        <v>265</v>
      </c>
      <c r="H119" s="333">
        <v>45898</v>
      </c>
      <c r="I119" s="334">
        <v>16</v>
      </c>
      <c r="J119" s="330" t="s">
        <v>416</v>
      </c>
      <c r="K119" s="335">
        <v>660</v>
      </c>
      <c r="L119" s="334" t="s">
        <v>421</v>
      </c>
      <c r="M119" s="336"/>
      <c r="N119" s="334"/>
      <c r="O119" s="337"/>
      <c r="P119" s="338">
        <v>46142</v>
      </c>
      <c r="Q119" s="254"/>
      <c r="R119" s="209" t="str">
        <f t="shared" si="1"/>
        <v/>
      </c>
      <c r="S119" s="187"/>
    </row>
    <row r="120" spans="1:27" ht="18" customHeight="1">
      <c r="A120" s="328">
        <v>39016</v>
      </c>
      <c r="B120" s="329">
        <v>72707</v>
      </c>
      <c r="C120" s="330" t="s">
        <v>41</v>
      </c>
      <c r="D120" s="328">
        <v>2</v>
      </c>
      <c r="E120" s="374" t="s">
        <v>417</v>
      </c>
      <c r="F120" s="328"/>
      <c r="G120" s="332" t="s">
        <v>265</v>
      </c>
      <c r="H120" s="333">
        <v>45898</v>
      </c>
      <c r="I120" s="334">
        <v>17</v>
      </c>
      <c r="J120" s="330" t="s">
        <v>418</v>
      </c>
      <c r="K120" s="335">
        <v>662</v>
      </c>
      <c r="L120" s="334" t="s">
        <v>421</v>
      </c>
      <c r="M120" s="336"/>
      <c r="N120" s="334"/>
      <c r="O120" s="337"/>
      <c r="P120" s="338">
        <v>46142</v>
      </c>
      <c r="Q120" s="254"/>
      <c r="R120" s="209" t="str">
        <f t="shared" si="1"/>
        <v/>
      </c>
      <c r="S120" s="187"/>
      <c r="AA120" s="230">
        <v>1460</v>
      </c>
    </row>
    <row r="121" spans="1:27" ht="18" customHeight="1">
      <c r="A121" s="328">
        <v>39016</v>
      </c>
      <c r="B121" s="329">
        <v>72708</v>
      </c>
      <c r="C121" s="330" t="s">
        <v>41</v>
      </c>
      <c r="D121" s="328">
        <v>2</v>
      </c>
      <c r="E121" s="374" t="s">
        <v>419</v>
      </c>
      <c r="F121" s="328"/>
      <c r="G121" s="332" t="s">
        <v>265</v>
      </c>
      <c r="H121" s="333">
        <v>45898</v>
      </c>
      <c r="I121" s="334">
        <v>18</v>
      </c>
      <c r="J121" s="330" t="s">
        <v>420</v>
      </c>
      <c r="K121" s="335">
        <v>657</v>
      </c>
      <c r="L121" s="334" t="s">
        <v>421</v>
      </c>
      <c r="M121" s="336"/>
      <c r="N121" s="334"/>
      <c r="O121" s="337"/>
      <c r="P121" s="338">
        <v>46142</v>
      </c>
      <c r="Q121" s="254"/>
      <c r="R121" s="209" t="str">
        <f t="shared" si="1"/>
        <v/>
      </c>
      <c r="S121" s="187"/>
    </row>
    <row r="122" spans="1:27" ht="18" customHeight="1">
      <c r="A122" s="230"/>
      <c r="B122" s="231"/>
      <c r="C122" s="187"/>
      <c r="D122" s="230"/>
      <c r="E122" s="232"/>
      <c r="F122" s="230"/>
      <c r="G122" s="187"/>
      <c r="H122" s="250"/>
      <c r="J122" s="187"/>
      <c r="M122" s="237"/>
      <c r="N122" s="207"/>
      <c r="O122" s="239"/>
      <c r="P122" s="249"/>
      <c r="Q122" s="254"/>
      <c r="R122" s="209" t="str">
        <f t="shared" si="1"/>
        <v/>
      </c>
      <c r="S122" s="187"/>
    </row>
    <row r="123" spans="1:27" ht="18" customHeight="1">
      <c r="A123" s="230">
        <v>39021</v>
      </c>
      <c r="B123" s="231">
        <v>72713</v>
      </c>
      <c r="C123" s="187" t="s">
        <v>41</v>
      </c>
      <c r="D123" s="230">
        <v>1</v>
      </c>
      <c r="E123" s="232" t="s">
        <v>422</v>
      </c>
      <c r="F123" s="230"/>
      <c r="G123" s="262" t="s">
        <v>423</v>
      </c>
      <c r="H123" s="250">
        <v>45908</v>
      </c>
      <c r="I123" s="207">
        <v>1</v>
      </c>
      <c r="J123" s="187" t="s">
        <v>424</v>
      </c>
      <c r="K123" s="235">
        <v>25379</v>
      </c>
      <c r="L123" s="207" t="s">
        <v>451</v>
      </c>
      <c r="M123" s="237"/>
      <c r="N123" s="207"/>
      <c r="O123" s="239"/>
      <c r="P123" s="325">
        <v>46097</v>
      </c>
      <c r="Q123" s="254"/>
      <c r="R123" s="209" t="str">
        <f t="shared" si="1"/>
        <v/>
      </c>
      <c r="S123" s="187"/>
      <c r="AA123" s="230">
        <v>1463</v>
      </c>
    </row>
    <row r="124" spans="1:27" ht="18" customHeight="1">
      <c r="A124" s="230">
        <v>39021</v>
      </c>
      <c r="B124" s="231">
        <v>72714</v>
      </c>
      <c r="C124" s="187" t="s">
        <v>41</v>
      </c>
      <c r="D124" s="230">
        <v>1</v>
      </c>
      <c r="E124" s="373" t="s">
        <v>425</v>
      </c>
      <c r="F124" s="230"/>
      <c r="G124" s="262" t="s">
        <v>423</v>
      </c>
      <c r="H124" s="250">
        <v>45908</v>
      </c>
      <c r="I124" s="207">
        <v>2</v>
      </c>
      <c r="J124" s="187" t="s">
        <v>426</v>
      </c>
      <c r="K124" s="235">
        <v>5164</v>
      </c>
      <c r="L124" s="207" t="s">
        <v>451</v>
      </c>
      <c r="M124" s="237"/>
      <c r="N124" s="207"/>
      <c r="O124" s="239"/>
      <c r="P124" s="325">
        <v>46098</v>
      </c>
      <c r="Q124" s="254"/>
      <c r="R124" s="209" t="str">
        <f t="shared" si="1"/>
        <v/>
      </c>
      <c r="S124" s="187"/>
    </row>
    <row r="125" spans="1:27" ht="18" customHeight="1">
      <c r="A125" s="230">
        <v>39021</v>
      </c>
      <c r="B125" s="231">
        <v>72715</v>
      </c>
      <c r="C125" s="187" t="s">
        <v>41</v>
      </c>
      <c r="D125" s="230">
        <v>2</v>
      </c>
      <c r="E125" s="373" t="s">
        <v>427</v>
      </c>
      <c r="F125" s="230"/>
      <c r="G125" s="262" t="s">
        <v>423</v>
      </c>
      <c r="H125" s="250">
        <v>45908</v>
      </c>
      <c r="I125" s="207">
        <v>3</v>
      </c>
      <c r="J125" s="266" t="s">
        <v>428</v>
      </c>
      <c r="K125" s="235">
        <v>3278</v>
      </c>
      <c r="L125" s="207" t="s">
        <v>451</v>
      </c>
      <c r="M125" s="237"/>
      <c r="N125" s="207"/>
      <c r="O125" s="239"/>
      <c r="P125" s="325">
        <v>46099</v>
      </c>
      <c r="Q125" s="254"/>
      <c r="R125" s="209" t="str">
        <f t="shared" si="1"/>
        <v/>
      </c>
      <c r="S125" s="187"/>
    </row>
    <row r="126" spans="1:27" ht="18" customHeight="1">
      <c r="A126" s="230">
        <v>39021</v>
      </c>
      <c r="B126" s="231">
        <v>72716</v>
      </c>
      <c r="C126" s="187" t="s">
        <v>41</v>
      </c>
      <c r="D126" s="230">
        <v>1</v>
      </c>
      <c r="E126" s="373" t="s">
        <v>429</v>
      </c>
      <c r="F126" s="230"/>
      <c r="G126" s="262" t="s">
        <v>423</v>
      </c>
      <c r="H126" s="250">
        <v>45908</v>
      </c>
      <c r="I126" s="207">
        <v>4</v>
      </c>
      <c r="J126" s="187" t="s">
        <v>430</v>
      </c>
      <c r="K126" s="235">
        <v>12468</v>
      </c>
      <c r="L126" s="207" t="s">
        <v>451</v>
      </c>
      <c r="M126" s="237"/>
      <c r="N126" s="207"/>
      <c r="O126" s="239"/>
      <c r="P126" s="325">
        <v>46100</v>
      </c>
      <c r="Q126" s="254"/>
      <c r="R126" s="209" t="str">
        <f t="shared" si="1"/>
        <v/>
      </c>
      <c r="S126" s="187"/>
      <c r="AA126" s="230">
        <v>1465</v>
      </c>
    </row>
    <row r="127" spans="1:27" ht="18" customHeight="1">
      <c r="A127" s="230">
        <v>39021</v>
      </c>
      <c r="B127" s="231">
        <v>72717</v>
      </c>
      <c r="C127" s="187" t="s">
        <v>41</v>
      </c>
      <c r="D127" s="230">
        <v>1</v>
      </c>
      <c r="E127" s="373" t="s">
        <v>431</v>
      </c>
      <c r="F127" s="230"/>
      <c r="G127" s="262" t="s">
        <v>423</v>
      </c>
      <c r="H127" s="250">
        <v>45908</v>
      </c>
      <c r="I127" s="207">
        <v>5</v>
      </c>
      <c r="J127" s="187" t="s">
        <v>432</v>
      </c>
      <c r="K127" s="235">
        <v>9166</v>
      </c>
      <c r="L127" s="207" t="s">
        <v>451</v>
      </c>
      <c r="M127" s="237"/>
      <c r="N127" s="207"/>
      <c r="O127" s="239"/>
      <c r="P127" s="325">
        <v>46101</v>
      </c>
      <c r="Q127" s="254"/>
      <c r="R127" s="209" t="str">
        <f t="shared" si="1"/>
        <v/>
      </c>
      <c r="S127" s="187"/>
    </row>
    <row r="128" spans="1:27" ht="18" customHeight="1">
      <c r="A128" s="230">
        <v>39021</v>
      </c>
      <c r="B128" s="231">
        <v>72718</v>
      </c>
      <c r="C128" s="187" t="s">
        <v>41</v>
      </c>
      <c r="D128" s="230">
        <v>1</v>
      </c>
      <c r="E128" s="373" t="s">
        <v>433</v>
      </c>
      <c r="F128" s="230"/>
      <c r="G128" s="262" t="s">
        <v>423</v>
      </c>
      <c r="H128" s="250">
        <v>45908</v>
      </c>
      <c r="I128" s="207">
        <v>6</v>
      </c>
      <c r="J128" s="187" t="s">
        <v>434</v>
      </c>
      <c r="K128" s="235">
        <v>26145</v>
      </c>
      <c r="L128" s="207" t="s">
        <v>451</v>
      </c>
      <c r="M128" s="237"/>
      <c r="N128" s="207"/>
      <c r="O128" s="239"/>
      <c r="P128" s="325">
        <v>46102</v>
      </c>
      <c r="Q128" s="254"/>
      <c r="R128" s="209" t="str">
        <f t="shared" si="1"/>
        <v/>
      </c>
      <c r="S128" s="187"/>
      <c r="AA128" s="230">
        <v>1466</v>
      </c>
    </row>
    <row r="129" spans="1:27" ht="18" customHeight="1">
      <c r="A129" s="230">
        <v>39021</v>
      </c>
      <c r="B129" s="231">
        <v>72719</v>
      </c>
      <c r="C129" s="187" t="s">
        <v>41</v>
      </c>
      <c r="D129" s="230">
        <v>1</v>
      </c>
      <c r="E129" s="373" t="s">
        <v>435</v>
      </c>
      <c r="F129" s="230"/>
      <c r="G129" s="262" t="s">
        <v>423</v>
      </c>
      <c r="H129" s="250">
        <v>45908</v>
      </c>
      <c r="I129" s="207">
        <v>7</v>
      </c>
      <c r="J129" s="187" t="s">
        <v>436</v>
      </c>
      <c r="K129" s="235">
        <v>85101</v>
      </c>
      <c r="L129" s="207" t="s">
        <v>451</v>
      </c>
      <c r="M129" s="237"/>
      <c r="N129" s="207"/>
      <c r="O129" s="239"/>
      <c r="P129" s="325">
        <v>46103</v>
      </c>
      <c r="Q129" s="254"/>
      <c r="R129" s="209" t="str">
        <f t="shared" si="1"/>
        <v/>
      </c>
      <c r="S129" s="187"/>
    </row>
    <row r="130" spans="1:27" ht="18" customHeight="1">
      <c r="A130" s="230">
        <v>39021</v>
      </c>
      <c r="B130" s="231">
        <v>72720</v>
      </c>
      <c r="C130" s="187" t="s">
        <v>41</v>
      </c>
      <c r="D130" s="230">
        <v>1</v>
      </c>
      <c r="E130" s="373" t="s">
        <v>437</v>
      </c>
      <c r="F130" s="230"/>
      <c r="G130" s="262" t="s">
        <v>423</v>
      </c>
      <c r="H130" s="250">
        <v>45908</v>
      </c>
      <c r="I130" s="207">
        <v>8</v>
      </c>
      <c r="J130" s="187" t="s">
        <v>438</v>
      </c>
      <c r="K130" s="235">
        <v>83447</v>
      </c>
      <c r="L130" s="207" t="s">
        <v>451</v>
      </c>
      <c r="M130" s="237"/>
      <c r="N130" s="207"/>
      <c r="O130" s="239"/>
      <c r="P130" s="325">
        <v>46104</v>
      </c>
      <c r="Q130" s="254"/>
      <c r="R130" s="209" t="str">
        <f t="shared" si="1"/>
        <v/>
      </c>
      <c r="S130" s="187"/>
    </row>
    <row r="131" spans="1:27" ht="18" customHeight="1">
      <c r="A131" s="230">
        <v>39021</v>
      </c>
      <c r="B131" s="231">
        <v>72721</v>
      </c>
      <c r="C131" s="187" t="s">
        <v>41</v>
      </c>
      <c r="D131" s="230">
        <v>1</v>
      </c>
      <c r="E131" s="373" t="s">
        <v>439</v>
      </c>
      <c r="F131" s="230"/>
      <c r="G131" s="262" t="s">
        <v>423</v>
      </c>
      <c r="H131" s="250">
        <v>45908</v>
      </c>
      <c r="I131" s="207">
        <v>9</v>
      </c>
      <c r="J131" s="187" t="s">
        <v>440</v>
      </c>
      <c r="K131" s="235">
        <v>9079</v>
      </c>
      <c r="L131" s="207" t="s">
        <v>451</v>
      </c>
      <c r="M131" s="237"/>
      <c r="N131" s="207"/>
      <c r="O131" s="239"/>
      <c r="P131" s="325">
        <v>46105</v>
      </c>
      <c r="Q131" s="254"/>
      <c r="R131" s="209" t="str">
        <f t="shared" si="1"/>
        <v/>
      </c>
      <c r="S131" s="187"/>
      <c r="AA131" s="230">
        <v>1468</v>
      </c>
    </row>
    <row r="132" spans="1:27" ht="18" customHeight="1">
      <c r="A132" s="230">
        <v>39021</v>
      </c>
      <c r="B132" s="231">
        <v>72722</v>
      </c>
      <c r="C132" s="187" t="s">
        <v>41</v>
      </c>
      <c r="D132" s="230">
        <v>2</v>
      </c>
      <c r="E132" s="373" t="s">
        <v>441</v>
      </c>
      <c r="F132" s="230"/>
      <c r="G132" s="262" t="s">
        <v>423</v>
      </c>
      <c r="H132" s="250">
        <v>45908</v>
      </c>
      <c r="I132" s="207">
        <v>10</v>
      </c>
      <c r="J132" s="187" t="s">
        <v>442</v>
      </c>
      <c r="K132" s="235">
        <v>1964</v>
      </c>
      <c r="L132" s="207" t="s">
        <v>451</v>
      </c>
      <c r="M132" s="237"/>
      <c r="N132" s="207"/>
      <c r="O132" s="239"/>
      <c r="P132" s="325">
        <v>46106</v>
      </c>
      <c r="Q132" s="254"/>
      <c r="R132" s="209" t="str">
        <f t="shared" ref="R132:R195" si="2">IF(SUM(Q132)&gt;0,SUM(Q132-P132),"")</f>
        <v/>
      </c>
      <c r="S132" s="187"/>
    </row>
    <row r="133" spans="1:27" ht="18" customHeight="1">
      <c r="A133" s="230">
        <v>39021</v>
      </c>
      <c r="B133" s="231">
        <v>72723</v>
      </c>
      <c r="C133" s="187" t="s">
        <v>41</v>
      </c>
      <c r="D133" s="230">
        <v>1</v>
      </c>
      <c r="E133" s="373" t="s">
        <v>443</v>
      </c>
      <c r="F133" s="230"/>
      <c r="G133" s="262" t="s">
        <v>423</v>
      </c>
      <c r="H133" s="250">
        <v>45908</v>
      </c>
      <c r="I133" s="207">
        <v>11</v>
      </c>
      <c r="J133" s="187" t="s">
        <v>444</v>
      </c>
      <c r="K133" s="235">
        <v>4397</v>
      </c>
      <c r="L133" s="207" t="s">
        <v>451</v>
      </c>
      <c r="M133" s="237"/>
      <c r="N133" s="207"/>
      <c r="O133" s="239"/>
      <c r="P133" s="325">
        <v>46107</v>
      </c>
      <c r="Q133" s="254"/>
      <c r="R133" s="209" t="str">
        <f t="shared" si="2"/>
        <v/>
      </c>
      <c r="S133" s="187"/>
      <c r="AA133" s="230">
        <v>1469</v>
      </c>
    </row>
    <row r="134" spans="1:27" ht="18" customHeight="1">
      <c r="A134" s="230">
        <v>39021</v>
      </c>
      <c r="B134" s="231">
        <v>72724</v>
      </c>
      <c r="C134" s="187" t="s">
        <v>41</v>
      </c>
      <c r="D134" s="230">
        <v>1</v>
      </c>
      <c r="E134" s="373" t="s">
        <v>445</v>
      </c>
      <c r="F134" s="230"/>
      <c r="G134" s="262" t="s">
        <v>423</v>
      </c>
      <c r="H134" s="250">
        <v>45908</v>
      </c>
      <c r="I134" s="207">
        <v>12</v>
      </c>
      <c r="J134" s="187" t="s">
        <v>446</v>
      </c>
      <c r="K134" s="235">
        <v>6305</v>
      </c>
      <c r="L134" s="207" t="s">
        <v>451</v>
      </c>
      <c r="M134" s="237"/>
      <c r="N134" s="207"/>
      <c r="O134" s="239"/>
      <c r="P134" s="325">
        <v>46108</v>
      </c>
      <c r="Q134" s="254"/>
      <c r="R134" s="209" t="str">
        <f t="shared" si="2"/>
        <v/>
      </c>
      <c r="S134" s="187"/>
    </row>
    <row r="135" spans="1:27" ht="18" customHeight="1">
      <c r="A135" s="230">
        <v>39021</v>
      </c>
      <c r="B135" s="231">
        <v>72725</v>
      </c>
      <c r="C135" s="187" t="s">
        <v>41</v>
      </c>
      <c r="D135" s="230">
        <v>2</v>
      </c>
      <c r="E135" s="373" t="s">
        <v>447</v>
      </c>
      <c r="F135" s="230"/>
      <c r="G135" s="262" t="s">
        <v>423</v>
      </c>
      <c r="H135" s="250">
        <v>45908</v>
      </c>
      <c r="I135" s="207">
        <v>13</v>
      </c>
      <c r="J135" s="187" t="s">
        <v>448</v>
      </c>
      <c r="K135" s="235">
        <v>2867</v>
      </c>
      <c r="L135" s="207" t="s">
        <v>451</v>
      </c>
      <c r="M135" s="237"/>
      <c r="N135" s="207"/>
      <c r="O135" s="239"/>
      <c r="P135" s="325">
        <v>46109</v>
      </c>
      <c r="Q135" s="254"/>
      <c r="R135" s="209" t="str">
        <f t="shared" si="2"/>
        <v/>
      </c>
      <c r="S135" s="187"/>
    </row>
    <row r="136" spans="1:27" ht="18" customHeight="1">
      <c r="A136" s="230">
        <v>39021</v>
      </c>
      <c r="B136" s="231">
        <v>72726</v>
      </c>
      <c r="C136" s="187" t="s">
        <v>41</v>
      </c>
      <c r="D136" s="230">
        <v>2</v>
      </c>
      <c r="E136" s="373" t="s">
        <v>449</v>
      </c>
      <c r="F136" s="230"/>
      <c r="G136" s="262" t="s">
        <v>423</v>
      </c>
      <c r="H136" s="250">
        <v>45908</v>
      </c>
      <c r="I136" s="207">
        <v>14</v>
      </c>
      <c r="J136" s="187" t="s">
        <v>450</v>
      </c>
      <c r="K136" s="235">
        <v>2867</v>
      </c>
      <c r="L136" s="207" t="s">
        <v>451</v>
      </c>
      <c r="M136" s="237"/>
      <c r="N136" s="207"/>
      <c r="O136" s="239"/>
      <c r="P136" s="325">
        <v>46110</v>
      </c>
      <c r="Q136" s="254"/>
      <c r="R136" s="209" t="str">
        <f t="shared" si="2"/>
        <v/>
      </c>
      <c r="S136" s="187"/>
      <c r="AA136" s="230">
        <v>1480</v>
      </c>
    </row>
    <row r="137" spans="1:27" ht="18" customHeight="1">
      <c r="A137" s="345">
        <v>39021</v>
      </c>
      <c r="B137" s="317">
        <v>73061</v>
      </c>
      <c r="C137" s="346" t="s">
        <v>41</v>
      </c>
      <c r="D137" s="345">
        <v>2</v>
      </c>
      <c r="E137" s="375" t="s">
        <v>427</v>
      </c>
      <c r="F137" s="345"/>
      <c r="G137" s="347" t="s">
        <v>423</v>
      </c>
      <c r="H137" s="348">
        <v>46048</v>
      </c>
      <c r="I137" s="390" t="s">
        <v>543</v>
      </c>
      <c r="J137" s="352" t="s">
        <v>428</v>
      </c>
      <c r="K137" s="349">
        <v>3278</v>
      </c>
      <c r="L137" s="356" t="s">
        <v>583</v>
      </c>
      <c r="M137" s="237"/>
      <c r="N137" s="207"/>
      <c r="O137" s="239"/>
      <c r="P137" s="353">
        <v>46220</v>
      </c>
      <c r="Q137" s="254"/>
      <c r="R137" s="209" t="str">
        <f t="shared" si="2"/>
        <v/>
      </c>
      <c r="S137" s="187"/>
    </row>
    <row r="138" spans="1:27" ht="18" customHeight="1">
      <c r="A138" s="345">
        <v>39021</v>
      </c>
      <c r="B138" s="317">
        <v>73062</v>
      </c>
      <c r="C138" s="346" t="s">
        <v>41</v>
      </c>
      <c r="D138" s="345">
        <v>1</v>
      </c>
      <c r="E138" s="375" t="s">
        <v>443</v>
      </c>
      <c r="F138" s="345"/>
      <c r="G138" s="347" t="s">
        <v>423</v>
      </c>
      <c r="H138" s="348">
        <v>46048</v>
      </c>
      <c r="I138" s="390" t="s">
        <v>548</v>
      </c>
      <c r="J138" s="346" t="s">
        <v>444</v>
      </c>
      <c r="K138" s="349">
        <v>4397</v>
      </c>
      <c r="L138" s="356" t="s">
        <v>583</v>
      </c>
      <c r="M138" s="237"/>
      <c r="N138" s="207"/>
      <c r="O138" s="239"/>
      <c r="P138" s="353">
        <v>46220</v>
      </c>
      <c r="Q138" s="254"/>
      <c r="R138" s="209" t="str">
        <f t="shared" si="2"/>
        <v/>
      </c>
      <c r="S138" s="187"/>
    </row>
    <row r="139" spans="1:27" ht="18" customHeight="1">
      <c r="A139" s="230"/>
      <c r="B139" s="231"/>
      <c r="C139" s="187"/>
      <c r="D139" s="230"/>
      <c r="E139" s="232"/>
      <c r="F139" s="230"/>
      <c r="G139" s="187"/>
      <c r="H139" s="250"/>
      <c r="J139" s="187"/>
      <c r="M139" s="237"/>
      <c r="N139" s="207"/>
      <c r="O139" s="239"/>
      <c r="P139" s="249"/>
      <c r="Q139" s="254"/>
      <c r="R139" s="209" t="str">
        <f t="shared" si="2"/>
        <v/>
      </c>
      <c r="S139" s="187"/>
      <c r="AA139" s="230">
        <v>1482</v>
      </c>
    </row>
    <row r="140" spans="1:27" ht="18" customHeight="1">
      <c r="A140" s="230">
        <v>39023</v>
      </c>
      <c r="B140" s="231">
        <v>72728</v>
      </c>
      <c r="C140" s="187" t="s">
        <v>41</v>
      </c>
      <c r="D140" s="230">
        <v>1</v>
      </c>
      <c r="E140" s="373" t="s">
        <v>454</v>
      </c>
      <c r="F140" s="230"/>
      <c r="G140" s="187" t="s">
        <v>452</v>
      </c>
      <c r="H140" s="250">
        <v>45922</v>
      </c>
      <c r="I140" s="207">
        <v>1</v>
      </c>
      <c r="J140" s="187" t="s">
        <v>484</v>
      </c>
      <c r="K140" s="235">
        <v>297681</v>
      </c>
      <c r="L140" s="207" t="s">
        <v>486</v>
      </c>
      <c r="M140" s="237"/>
      <c r="N140" s="207"/>
      <c r="O140" s="239"/>
      <c r="P140" s="255">
        <v>45712</v>
      </c>
      <c r="Q140" s="254"/>
      <c r="R140" s="209" t="str">
        <f t="shared" si="2"/>
        <v/>
      </c>
      <c r="S140" s="187"/>
    </row>
    <row r="141" spans="1:27" ht="18" customHeight="1">
      <c r="A141" s="230">
        <v>39023</v>
      </c>
      <c r="B141" s="231">
        <v>72729</v>
      </c>
      <c r="C141" s="187" t="s">
        <v>41</v>
      </c>
      <c r="D141" s="230" t="s">
        <v>453</v>
      </c>
      <c r="E141" s="373" t="s">
        <v>454</v>
      </c>
      <c r="F141" s="230"/>
      <c r="G141" s="187" t="s">
        <v>452</v>
      </c>
      <c r="H141" s="250">
        <v>45922</v>
      </c>
      <c r="I141" s="207" t="s">
        <v>554</v>
      </c>
      <c r="J141" s="187" t="s">
        <v>485</v>
      </c>
      <c r="K141" s="235">
        <v>317378</v>
      </c>
      <c r="L141" s="207" t="s">
        <v>486</v>
      </c>
      <c r="M141" s="237"/>
      <c r="N141" s="207"/>
      <c r="O141" s="239"/>
      <c r="P141" s="255">
        <v>45712</v>
      </c>
      <c r="Q141" s="254"/>
      <c r="R141" s="209" t="str">
        <f t="shared" si="2"/>
        <v/>
      </c>
      <c r="S141" s="187"/>
    </row>
    <row r="142" spans="1:27" ht="18" customHeight="1">
      <c r="A142" s="230">
        <v>39023</v>
      </c>
      <c r="B142" s="231">
        <v>72730</v>
      </c>
      <c r="C142" s="187" t="s">
        <v>41</v>
      </c>
      <c r="D142" s="230">
        <v>2</v>
      </c>
      <c r="E142" s="232" t="s">
        <v>455</v>
      </c>
      <c r="F142" s="230"/>
      <c r="G142" s="187" t="s">
        <v>452</v>
      </c>
      <c r="H142" s="250">
        <v>45922</v>
      </c>
      <c r="I142" s="207">
        <v>3</v>
      </c>
      <c r="J142" s="187" t="s">
        <v>456</v>
      </c>
      <c r="K142" s="235">
        <v>274203</v>
      </c>
      <c r="L142" s="207" t="s">
        <v>486</v>
      </c>
      <c r="M142" s="237"/>
      <c r="N142" s="207"/>
      <c r="O142" s="239"/>
      <c r="P142" s="255">
        <v>45712</v>
      </c>
      <c r="Q142" s="254"/>
      <c r="R142" s="209" t="str">
        <f t="shared" si="2"/>
        <v/>
      </c>
      <c r="S142" s="187"/>
      <c r="AA142" s="230">
        <v>1485</v>
      </c>
    </row>
    <row r="143" spans="1:27" ht="18" customHeight="1">
      <c r="A143" s="230">
        <v>39023</v>
      </c>
      <c r="B143" s="231">
        <v>72731</v>
      </c>
      <c r="C143" s="187" t="s">
        <v>41</v>
      </c>
      <c r="D143" s="230">
        <v>1</v>
      </c>
      <c r="E143" s="373" t="s">
        <v>458</v>
      </c>
      <c r="F143" s="230"/>
      <c r="G143" s="187" t="s">
        <v>452</v>
      </c>
      <c r="H143" s="250">
        <v>45922</v>
      </c>
      <c r="I143" s="207">
        <v>4</v>
      </c>
      <c r="J143" s="187" t="s">
        <v>460</v>
      </c>
      <c r="K143" s="235">
        <v>207317</v>
      </c>
      <c r="L143" s="207" t="s">
        <v>486</v>
      </c>
      <c r="M143" s="237"/>
      <c r="N143" s="207"/>
      <c r="O143" s="239"/>
      <c r="P143" s="255">
        <v>45712</v>
      </c>
      <c r="Q143" s="254"/>
      <c r="R143" s="209" t="str">
        <f t="shared" si="2"/>
        <v/>
      </c>
      <c r="S143" s="187"/>
    </row>
    <row r="144" spans="1:27" ht="18" customHeight="1">
      <c r="A144" s="230">
        <v>39023</v>
      </c>
      <c r="B144" s="231">
        <v>72732</v>
      </c>
      <c r="C144" s="187" t="s">
        <v>41</v>
      </c>
      <c r="D144" s="230">
        <v>1</v>
      </c>
      <c r="E144" s="373" t="s">
        <v>457</v>
      </c>
      <c r="F144" s="230"/>
      <c r="G144" s="187" t="s">
        <v>452</v>
      </c>
      <c r="H144" s="250">
        <v>45922</v>
      </c>
      <c r="I144" s="207">
        <v>5</v>
      </c>
      <c r="J144" s="187" t="s">
        <v>459</v>
      </c>
      <c r="K144" s="235">
        <v>339127</v>
      </c>
      <c r="L144" s="207" t="s">
        <v>486</v>
      </c>
      <c r="M144" s="237"/>
      <c r="N144" s="207"/>
      <c r="O144" s="239"/>
      <c r="P144" s="255">
        <v>45712</v>
      </c>
      <c r="Q144" s="254"/>
      <c r="R144" s="209" t="str">
        <f t="shared" si="2"/>
        <v/>
      </c>
      <c r="S144" s="187"/>
    </row>
    <row r="145" spans="1:27" ht="18" customHeight="1">
      <c r="A145" s="230">
        <v>39023</v>
      </c>
      <c r="B145" s="231">
        <v>72733</v>
      </c>
      <c r="C145" s="187" t="s">
        <v>41</v>
      </c>
      <c r="D145" s="230">
        <v>1</v>
      </c>
      <c r="E145" s="373" t="s">
        <v>461</v>
      </c>
      <c r="F145" s="230"/>
      <c r="G145" s="187" t="s">
        <v>452</v>
      </c>
      <c r="H145" s="250">
        <v>45922</v>
      </c>
      <c r="I145" s="207">
        <v>6</v>
      </c>
      <c r="J145" s="187" t="s">
        <v>462</v>
      </c>
      <c r="K145" s="235">
        <v>812</v>
      </c>
      <c r="L145" s="207" t="s">
        <v>486</v>
      </c>
      <c r="M145" s="237"/>
      <c r="N145" s="207"/>
      <c r="O145" s="239"/>
      <c r="P145" s="255">
        <v>45712</v>
      </c>
      <c r="Q145" s="254"/>
      <c r="R145" s="209" t="str">
        <f t="shared" si="2"/>
        <v/>
      </c>
      <c r="S145" s="187"/>
      <c r="AA145" s="230">
        <v>1489</v>
      </c>
    </row>
    <row r="146" spans="1:27" ht="18" customHeight="1">
      <c r="A146" s="230">
        <v>39023</v>
      </c>
      <c r="B146" s="231">
        <v>72734</v>
      </c>
      <c r="C146" s="187" t="s">
        <v>41</v>
      </c>
      <c r="D146" s="230">
        <v>1</v>
      </c>
      <c r="E146" s="373" t="s">
        <v>463</v>
      </c>
      <c r="F146" s="230"/>
      <c r="G146" s="187" t="s">
        <v>452</v>
      </c>
      <c r="H146" s="250">
        <v>45922</v>
      </c>
      <c r="I146" s="207">
        <v>7</v>
      </c>
      <c r="J146" s="187" t="s">
        <v>464</v>
      </c>
      <c r="K146" s="235">
        <v>790</v>
      </c>
      <c r="L146" s="207" t="s">
        <v>486</v>
      </c>
      <c r="M146" s="237"/>
      <c r="N146" s="207"/>
      <c r="O146" s="239"/>
      <c r="P146" s="255">
        <v>45712</v>
      </c>
      <c r="Q146" s="254"/>
      <c r="R146" s="209" t="str">
        <f t="shared" si="2"/>
        <v/>
      </c>
      <c r="S146" s="187"/>
    </row>
    <row r="147" spans="1:27" ht="18" customHeight="1">
      <c r="A147" s="230">
        <v>39023</v>
      </c>
      <c r="B147" s="231">
        <v>72735</v>
      </c>
      <c r="C147" s="187" t="s">
        <v>41</v>
      </c>
      <c r="D147" s="230">
        <v>1</v>
      </c>
      <c r="E147" s="373" t="s">
        <v>465</v>
      </c>
      <c r="F147" s="230"/>
      <c r="G147" s="187" t="s">
        <v>452</v>
      </c>
      <c r="H147" s="250">
        <v>45922</v>
      </c>
      <c r="I147" s="207">
        <v>8</v>
      </c>
      <c r="J147" s="187" t="s">
        <v>466</v>
      </c>
      <c r="K147" s="235">
        <v>798</v>
      </c>
      <c r="L147" s="207" t="s">
        <v>486</v>
      </c>
      <c r="M147" s="237"/>
      <c r="N147" s="207"/>
      <c r="O147" s="239"/>
      <c r="P147" s="255">
        <v>45712</v>
      </c>
      <c r="Q147" s="254"/>
      <c r="R147" s="209" t="str">
        <f t="shared" si="2"/>
        <v/>
      </c>
      <c r="S147" s="187"/>
      <c r="AA147" s="230">
        <v>1490</v>
      </c>
    </row>
    <row r="148" spans="1:27" s="389" customFormat="1" ht="18" customHeight="1">
      <c r="A148" s="230">
        <v>39023</v>
      </c>
      <c r="B148" s="231">
        <v>72736</v>
      </c>
      <c r="C148" s="187" t="s">
        <v>41</v>
      </c>
      <c r="D148" s="230">
        <v>1</v>
      </c>
      <c r="E148" s="373" t="s">
        <v>467</v>
      </c>
      <c r="F148" s="230"/>
      <c r="G148" s="187" t="s">
        <v>452</v>
      </c>
      <c r="H148" s="250">
        <v>45922</v>
      </c>
      <c r="I148" s="207">
        <v>9</v>
      </c>
      <c r="J148" s="187" t="s">
        <v>468</v>
      </c>
      <c r="K148" s="235">
        <v>802</v>
      </c>
      <c r="L148" s="207" t="s">
        <v>486</v>
      </c>
      <c r="M148" s="237"/>
      <c r="N148" s="207"/>
      <c r="O148" s="239"/>
      <c r="P148" s="255">
        <v>45712</v>
      </c>
      <c r="Q148" s="254"/>
      <c r="R148" s="209" t="str">
        <f t="shared" si="2"/>
        <v/>
      </c>
      <c r="AA148" s="388"/>
    </row>
    <row r="149" spans="1:27" ht="18" customHeight="1">
      <c r="A149" s="230"/>
      <c r="B149" s="231"/>
      <c r="C149" s="187"/>
      <c r="D149" s="230"/>
      <c r="E149" s="232"/>
      <c r="F149" s="230"/>
      <c r="G149" s="187"/>
      <c r="H149" s="250"/>
      <c r="J149" s="187"/>
      <c r="M149" s="237"/>
      <c r="N149" s="207"/>
      <c r="O149" s="239"/>
      <c r="P149" s="249"/>
      <c r="Q149" s="254"/>
      <c r="R149" s="209" t="str">
        <f t="shared" si="2"/>
        <v/>
      </c>
      <c r="S149" s="187"/>
      <c r="AA149" s="230">
        <v>1491</v>
      </c>
    </row>
    <row r="150" spans="1:27" ht="18" customHeight="1">
      <c r="A150" s="230">
        <v>39040</v>
      </c>
      <c r="B150" s="231">
        <v>72753</v>
      </c>
      <c r="C150" s="187" t="s">
        <v>62</v>
      </c>
      <c r="D150" s="230">
        <v>1</v>
      </c>
      <c r="E150" s="232" t="s">
        <v>469</v>
      </c>
      <c r="F150" s="230"/>
      <c r="G150" s="262" t="s">
        <v>339</v>
      </c>
      <c r="H150" s="250">
        <v>45911</v>
      </c>
      <c r="I150" s="207">
        <v>1</v>
      </c>
      <c r="J150" s="187" t="s">
        <v>470</v>
      </c>
      <c r="K150" s="235">
        <v>139436</v>
      </c>
      <c r="L150" s="207" t="s">
        <v>471</v>
      </c>
      <c r="M150" s="237"/>
      <c r="N150" s="207"/>
      <c r="O150" s="239"/>
      <c r="P150" s="249">
        <v>46031</v>
      </c>
      <c r="Q150" s="254"/>
      <c r="R150" s="209" t="str">
        <f t="shared" si="2"/>
        <v/>
      </c>
      <c r="S150" s="187"/>
    </row>
    <row r="151" spans="1:27" ht="18" customHeight="1">
      <c r="A151" s="230"/>
      <c r="B151" s="231"/>
      <c r="C151" s="187"/>
      <c r="D151" s="230"/>
      <c r="E151" s="232"/>
      <c r="F151" s="230"/>
      <c r="G151" s="187"/>
      <c r="H151" s="250"/>
      <c r="J151" s="187"/>
      <c r="M151" s="237"/>
      <c r="N151" s="207"/>
      <c r="O151" s="239"/>
      <c r="P151" s="249"/>
      <c r="Q151" s="254"/>
      <c r="R151" s="209" t="str">
        <f t="shared" si="2"/>
        <v/>
      </c>
      <c r="S151" s="187"/>
      <c r="AA151" s="230">
        <v>1492</v>
      </c>
    </row>
    <row r="152" spans="1:27" ht="18" customHeight="1">
      <c r="A152" s="230">
        <v>39058</v>
      </c>
      <c r="B152" s="231">
        <v>72775</v>
      </c>
      <c r="C152" s="187" t="s">
        <v>41</v>
      </c>
      <c r="D152" s="230">
        <v>6</v>
      </c>
      <c r="E152" s="373" t="s">
        <v>472</v>
      </c>
      <c r="F152" s="230"/>
      <c r="G152" s="187" t="s">
        <v>265</v>
      </c>
      <c r="H152" s="250">
        <v>45918</v>
      </c>
      <c r="I152" s="207">
        <v>1</v>
      </c>
      <c r="J152" s="187" t="s">
        <v>473</v>
      </c>
      <c r="K152" s="235">
        <v>8424</v>
      </c>
      <c r="L152" s="354" t="s">
        <v>582</v>
      </c>
      <c r="M152" s="322"/>
      <c r="N152" s="207"/>
      <c r="O152" s="239"/>
      <c r="P152" s="249">
        <v>46220</v>
      </c>
      <c r="Q152" s="254"/>
      <c r="R152" s="209" t="str">
        <f t="shared" si="2"/>
        <v/>
      </c>
      <c r="S152" s="187"/>
    </row>
    <row r="153" spans="1:27" ht="18" customHeight="1">
      <c r="A153" s="230">
        <v>39058</v>
      </c>
      <c r="B153" s="231">
        <v>72776</v>
      </c>
      <c r="C153" s="187" t="s">
        <v>41</v>
      </c>
      <c r="D153" s="230">
        <v>2</v>
      </c>
      <c r="E153" s="373" t="s">
        <v>474</v>
      </c>
      <c r="F153" s="230">
        <v>2</v>
      </c>
      <c r="G153" s="187" t="s">
        <v>265</v>
      </c>
      <c r="H153" s="250">
        <v>45918</v>
      </c>
      <c r="I153" s="207">
        <v>2</v>
      </c>
      <c r="J153" s="187" t="s">
        <v>475</v>
      </c>
      <c r="K153" s="235">
        <v>6219</v>
      </c>
      <c r="L153" s="354" t="s">
        <v>582</v>
      </c>
      <c r="M153" s="322"/>
      <c r="N153" s="207"/>
      <c r="O153" s="239"/>
      <c r="P153" s="249">
        <v>46220</v>
      </c>
      <c r="Q153" s="254"/>
      <c r="R153" s="209" t="str">
        <f t="shared" si="2"/>
        <v/>
      </c>
      <c r="S153" s="187"/>
      <c r="AA153" s="230">
        <v>1493</v>
      </c>
    </row>
    <row r="154" spans="1:27" ht="18" customHeight="1">
      <c r="A154" s="230">
        <v>39058</v>
      </c>
      <c r="B154" s="231">
        <v>72777</v>
      </c>
      <c r="C154" s="187" t="s">
        <v>41</v>
      </c>
      <c r="D154" s="230">
        <v>4</v>
      </c>
      <c r="E154" s="373" t="s">
        <v>476</v>
      </c>
      <c r="F154" s="230"/>
      <c r="G154" s="187" t="s">
        <v>265</v>
      </c>
      <c r="H154" s="250">
        <v>45918</v>
      </c>
      <c r="I154" s="207">
        <v>3</v>
      </c>
      <c r="J154" s="187" t="s">
        <v>477</v>
      </c>
      <c r="K154" s="235">
        <v>5194</v>
      </c>
      <c r="L154" s="354" t="s">
        <v>582</v>
      </c>
      <c r="M154" s="322"/>
      <c r="N154" s="207"/>
      <c r="O154" s="239"/>
      <c r="P154" s="249">
        <v>46220</v>
      </c>
      <c r="Q154" s="254"/>
      <c r="R154" s="209" t="str">
        <f t="shared" si="2"/>
        <v/>
      </c>
      <c r="S154" s="187"/>
      <c r="AA154" s="230">
        <v>1493</v>
      </c>
    </row>
    <row r="155" spans="1:27" ht="18" customHeight="1">
      <c r="A155" s="230">
        <v>39058</v>
      </c>
      <c r="B155" s="231">
        <v>72778</v>
      </c>
      <c r="C155" s="187" t="s">
        <v>41</v>
      </c>
      <c r="D155" s="230">
        <v>6</v>
      </c>
      <c r="E155" s="373" t="s">
        <v>478</v>
      </c>
      <c r="F155" s="230"/>
      <c r="G155" s="187" t="s">
        <v>265</v>
      </c>
      <c r="H155" s="250">
        <v>45918</v>
      </c>
      <c r="I155" s="207">
        <v>4</v>
      </c>
      <c r="J155" s="187" t="s">
        <v>479</v>
      </c>
      <c r="K155" s="235">
        <v>25949</v>
      </c>
      <c r="L155" s="354" t="s">
        <v>582</v>
      </c>
      <c r="M155" s="322"/>
      <c r="N155" s="207"/>
      <c r="O155" s="239"/>
      <c r="P155" s="249">
        <v>46220</v>
      </c>
      <c r="Q155" s="254"/>
      <c r="R155" s="209" t="str">
        <f t="shared" si="2"/>
        <v/>
      </c>
      <c r="S155" s="187"/>
      <c r="AA155" s="230">
        <v>1495</v>
      </c>
    </row>
    <row r="156" spans="1:27" ht="18" customHeight="1">
      <c r="A156" s="230">
        <v>39058</v>
      </c>
      <c r="B156" s="231">
        <v>72779</v>
      </c>
      <c r="C156" s="187" t="s">
        <v>41</v>
      </c>
      <c r="D156" s="230">
        <v>5</v>
      </c>
      <c r="E156" s="232" t="s">
        <v>480</v>
      </c>
      <c r="F156" s="230"/>
      <c r="G156" s="187" t="s">
        <v>265</v>
      </c>
      <c r="H156" s="250">
        <v>45918</v>
      </c>
      <c r="I156" s="207">
        <v>5</v>
      </c>
      <c r="J156" s="187" t="s">
        <v>481</v>
      </c>
      <c r="K156" s="235">
        <v>97326</v>
      </c>
      <c r="L156" s="354" t="s">
        <v>582</v>
      </c>
      <c r="M156" s="322"/>
      <c r="N156" s="207"/>
      <c r="O156" s="239"/>
      <c r="P156" s="249">
        <v>46220</v>
      </c>
      <c r="Q156" s="254"/>
      <c r="R156" s="209" t="str">
        <f t="shared" si="2"/>
        <v/>
      </c>
      <c r="S156" s="187"/>
    </row>
    <row r="157" spans="1:27" ht="18" customHeight="1">
      <c r="A157" s="230">
        <v>39058</v>
      </c>
      <c r="B157" s="231">
        <v>72780</v>
      </c>
      <c r="C157" s="187" t="s">
        <v>41</v>
      </c>
      <c r="D157" s="230">
        <v>5</v>
      </c>
      <c r="E157" s="373" t="s">
        <v>482</v>
      </c>
      <c r="F157" s="230"/>
      <c r="G157" s="187" t="s">
        <v>265</v>
      </c>
      <c r="H157" s="250">
        <v>45918</v>
      </c>
      <c r="I157" s="207">
        <v>6</v>
      </c>
      <c r="J157" s="187" t="s">
        <v>483</v>
      </c>
      <c r="K157" s="235">
        <v>22143</v>
      </c>
      <c r="L157" s="354" t="s">
        <v>582</v>
      </c>
      <c r="M157" s="322"/>
      <c r="N157" s="207"/>
      <c r="O157" s="239"/>
      <c r="P157" s="249">
        <v>46262</v>
      </c>
      <c r="Q157" s="254"/>
      <c r="R157" s="209" t="str">
        <f t="shared" si="2"/>
        <v/>
      </c>
      <c r="S157" s="187"/>
    </row>
    <row r="158" spans="1:27" ht="18" customHeight="1">
      <c r="A158" s="230"/>
      <c r="B158" s="231"/>
      <c r="C158" s="187"/>
      <c r="D158" s="230"/>
      <c r="E158" s="232"/>
      <c r="F158" s="230"/>
      <c r="G158" s="187"/>
      <c r="H158" s="250"/>
      <c r="J158" s="187"/>
      <c r="M158" s="237"/>
      <c r="N158" s="207"/>
      <c r="O158" s="239"/>
      <c r="P158" s="249"/>
      <c r="Q158" s="254"/>
      <c r="R158" s="209" t="str">
        <f t="shared" si="2"/>
        <v/>
      </c>
      <c r="S158" s="187"/>
    </row>
    <row r="159" spans="1:27" ht="18" customHeight="1">
      <c r="A159" s="230">
        <v>39073</v>
      </c>
      <c r="B159" s="231">
        <v>72811</v>
      </c>
      <c r="C159" s="187" t="s">
        <v>41</v>
      </c>
      <c r="D159" s="230">
        <v>6</v>
      </c>
      <c r="E159" s="373" t="s">
        <v>487</v>
      </c>
      <c r="F159" s="230">
        <v>0</v>
      </c>
      <c r="G159" s="262" t="s">
        <v>265</v>
      </c>
      <c r="H159" s="250">
        <v>45929</v>
      </c>
      <c r="I159" s="207">
        <v>1</v>
      </c>
      <c r="J159" s="187" t="s">
        <v>488</v>
      </c>
      <c r="K159" s="235">
        <v>1280</v>
      </c>
      <c r="L159" s="207" t="s">
        <v>489</v>
      </c>
      <c r="M159" s="237"/>
      <c r="N159" s="207"/>
      <c r="O159" s="239"/>
      <c r="P159" s="249">
        <v>46076</v>
      </c>
      <c r="Q159" s="254"/>
      <c r="R159" s="209" t="str">
        <f t="shared" si="2"/>
        <v/>
      </c>
      <c r="S159" s="187"/>
    </row>
    <row r="160" spans="1:27" ht="18" customHeight="1">
      <c r="A160" s="230">
        <v>39073</v>
      </c>
      <c r="B160" s="231">
        <v>72812</v>
      </c>
      <c r="C160" s="187" t="s">
        <v>41</v>
      </c>
      <c r="D160" s="230">
        <v>4</v>
      </c>
      <c r="E160" s="373" t="s">
        <v>490</v>
      </c>
      <c r="F160" s="230"/>
      <c r="G160" s="262" t="s">
        <v>265</v>
      </c>
      <c r="H160" s="250">
        <v>45929</v>
      </c>
      <c r="I160" s="207">
        <v>2</v>
      </c>
      <c r="J160" s="187" t="s">
        <v>491</v>
      </c>
      <c r="K160" s="235">
        <v>1435</v>
      </c>
      <c r="L160" s="207" t="s">
        <v>489</v>
      </c>
      <c r="M160" s="237"/>
      <c r="N160" s="207"/>
      <c r="O160" s="239"/>
      <c r="P160" s="249">
        <v>46076</v>
      </c>
      <c r="Q160" s="254"/>
      <c r="R160" s="209" t="str">
        <f t="shared" si="2"/>
        <v/>
      </c>
      <c r="S160" s="187"/>
    </row>
    <row r="161" spans="1:27" ht="18" customHeight="1">
      <c r="A161" s="230">
        <v>39073</v>
      </c>
      <c r="B161" s="231">
        <v>72813</v>
      </c>
      <c r="C161" s="187" t="s">
        <v>41</v>
      </c>
      <c r="D161" s="230">
        <v>7</v>
      </c>
      <c r="E161" s="373" t="s">
        <v>569</v>
      </c>
      <c r="F161" s="230"/>
      <c r="G161" s="262" t="s">
        <v>265</v>
      </c>
      <c r="H161" s="250">
        <v>45929</v>
      </c>
      <c r="I161" s="207">
        <v>3</v>
      </c>
      <c r="J161" s="187" t="s">
        <v>492</v>
      </c>
      <c r="K161" s="235">
        <v>2314</v>
      </c>
      <c r="L161" s="207" t="s">
        <v>489</v>
      </c>
      <c r="M161" s="237"/>
      <c r="N161" s="207"/>
      <c r="O161" s="239"/>
      <c r="P161" s="249">
        <v>46076</v>
      </c>
      <c r="Q161" s="254"/>
      <c r="R161" s="209" t="str">
        <f t="shared" si="2"/>
        <v/>
      </c>
      <c r="S161" s="187"/>
    </row>
    <row r="162" spans="1:27" ht="18" customHeight="1">
      <c r="A162" s="230">
        <v>39073</v>
      </c>
      <c r="B162" s="231">
        <v>72814</v>
      </c>
      <c r="C162" s="187" t="s">
        <v>41</v>
      </c>
      <c r="D162" s="230">
        <v>2</v>
      </c>
      <c r="E162" s="373" t="s">
        <v>493</v>
      </c>
      <c r="F162" s="230"/>
      <c r="G162" s="262" t="s">
        <v>265</v>
      </c>
      <c r="H162" s="250">
        <v>45929</v>
      </c>
      <c r="I162" s="207">
        <v>4</v>
      </c>
      <c r="J162" s="187" t="s">
        <v>494</v>
      </c>
      <c r="K162" s="235">
        <v>10568</v>
      </c>
      <c r="L162" s="207" t="s">
        <v>489</v>
      </c>
      <c r="M162" s="237"/>
      <c r="N162" s="207"/>
      <c r="O162" s="239"/>
      <c r="P162" s="249">
        <v>46076</v>
      </c>
      <c r="Q162" s="254"/>
      <c r="R162" s="209" t="str">
        <f t="shared" si="2"/>
        <v/>
      </c>
      <c r="S162" s="187"/>
      <c r="AA162" s="230">
        <v>1499</v>
      </c>
    </row>
    <row r="163" spans="1:27" ht="18" customHeight="1">
      <c r="A163" s="230">
        <v>39073</v>
      </c>
      <c r="B163" s="231">
        <v>72815</v>
      </c>
      <c r="C163" s="187" t="s">
        <v>41</v>
      </c>
      <c r="D163" s="230">
        <v>2</v>
      </c>
      <c r="E163" s="373" t="s">
        <v>495</v>
      </c>
      <c r="F163" s="230"/>
      <c r="G163" s="262" t="s">
        <v>265</v>
      </c>
      <c r="H163" s="250">
        <v>45929</v>
      </c>
      <c r="I163" s="207">
        <v>5</v>
      </c>
      <c r="J163" s="187" t="s">
        <v>496</v>
      </c>
      <c r="K163" s="235">
        <v>21257</v>
      </c>
      <c r="L163" s="207" t="s">
        <v>489</v>
      </c>
      <c r="M163" s="237"/>
      <c r="N163" s="207"/>
      <c r="O163" s="239"/>
      <c r="P163" s="249">
        <v>46076</v>
      </c>
      <c r="Q163" s="254"/>
      <c r="R163" s="209" t="str">
        <f t="shared" si="2"/>
        <v/>
      </c>
      <c r="S163" s="187"/>
    </row>
    <row r="164" spans="1:27" ht="18" customHeight="1">
      <c r="A164" s="230">
        <v>39073</v>
      </c>
      <c r="B164" s="231">
        <v>72816</v>
      </c>
      <c r="C164" s="187" t="s">
        <v>41</v>
      </c>
      <c r="D164" s="230">
        <v>3</v>
      </c>
      <c r="E164" s="373" t="s">
        <v>497</v>
      </c>
      <c r="F164" s="230"/>
      <c r="G164" s="262" t="s">
        <v>265</v>
      </c>
      <c r="H164" s="250">
        <v>45929</v>
      </c>
      <c r="I164" s="207">
        <v>6</v>
      </c>
      <c r="J164" s="187" t="s">
        <v>498</v>
      </c>
      <c r="K164" s="235">
        <v>38367</v>
      </c>
      <c r="L164" s="207" t="s">
        <v>489</v>
      </c>
      <c r="M164" s="237"/>
      <c r="N164" s="207"/>
      <c r="O164" s="239"/>
      <c r="P164" s="249">
        <v>46076</v>
      </c>
      <c r="Q164" s="254"/>
      <c r="R164" s="209" t="str">
        <f t="shared" si="2"/>
        <v/>
      </c>
      <c r="S164" s="187"/>
    </row>
    <row r="165" spans="1:27" ht="18" customHeight="1">
      <c r="A165" s="230">
        <v>39073</v>
      </c>
      <c r="B165" s="231">
        <v>72817</v>
      </c>
      <c r="C165" s="187" t="s">
        <v>41</v>
      </c>
      <c r="D165" s="230">
        <v>2</v>
      </c>
      <c r="E165" s="373" t="s">
        <v>499</v>
      </c>
      <c r="F165" s="230"/>
      <c r="G165" s="262" t="s">
        <v>265</v>
      </c>
      <c r="H165" s="250">
        <v>45930</v>
      </c>
      <c r="I165" s="207">
        <v>13</v>
      </c>
      <c r="J165" s="187" t="s">
        <v>500</v>
      </c>
      <c r="K165" s="235">
        <v>765</v>
      </c>
      <c r="L165" s="207" t="s">
        <v>489</v>
      </c>
      <c r="M165" s="237"/>
      <c r="N165" s="207"/>
      <c r="O165" s="239"/>
      <c r="P165" s="249">
        <v>46076</v>
      </c>
      <c r="Q165" s="254"/>
      <c r="R165" s="209" t="str">
        <f t="shared" si="2"/>
        <v/>
      </c>
      <c r="S165" s="187"/>
      <c r="AA165" s="230">
        <v>1500</v>
      </c>
    </row>
    <row r="166" spans="1:27" ht="18" customHeight="1">
      <c r="A166" s="230"/>
      <c r="B166" s="231"/>
      <c r="C166" s="187"/>
      <c r="D166" s="230"/>
      <c r="E166" s="232"/>
      <c r="F166" s="230"/>
      <c r="G166" s="187"/>
      <c r="H166" s="250"/>
      <c r="J166" s="187"/>
      <c r="M166" s="237"/>
      <c r="N166" s="207"/>
      <c r="O166" s="239"/>
      <c r="P166" s="249"/>
      <c r="Q166" s="254"/>
      <c r="R166" s="209" t="str">
        <f t="shared" si="2"/>
        <v/>
      </c>
      <c r="S166" s="187"/>
    </row>
    <row r="167" spans="1:27" ht="18" customHeight="1">
      <c r="A167" s="230">
        <v>39074</v>
      </c>
      <c r="B167" s="231">
        <v>72818</v>
      </c>
      <c r="C167" s="187" t="s">
        <v>41</v>
      </c>
      <c r="D167" s="230">
        <v>1</v>
      </c>
      <c r="E167" s="232" t="s">
        <v>507</v>
      </c>
      <c r="F167" s="230"/>
      <c r="G167" s="262" t="s">
        <v>265</v>
      </c>
      <c r="H167" s="250">
        <v>45929</v>
      </c>
      <c r="I167" s="207">
        <v>1</v>
      </c>
      <c r="J167" s="187" t="s">
        <v>501</v>
      </c>
      <c r="K167" s="235">
        <v>29696</v>
      </c>
      <c r="L167" s="207" t="s">
        <v>502</v>
      </c>
      <c r="M167" s="237"/>
      <c r="N167" s="207"/>
      <c r="O167" s="239"/>
      <c r="P167" s="249">
        <v>46080</v>
      </c>
      <c r="Q167" s="254"/>
      <c r="R167" s="209" t="str">
        <f t="shared" si="2"/>
        <v/>
      </c>
      <c r="S167" s="187"/>
      <c r="AA167" s="230">
        <v>1502</v>
      </c>
    </row>
    <row r="168" spans="1:27" ht="18" customHeight="1">
      <c r="A168" s="230">
        <v>39074</v>
      </c>
      <c r="B168" s="231">
        <v>72819</v>
      </c>
      <c r="C168" s="187" t="s">
        <v>41</v>
      </c>
      <c r="D168" s="230">
        <v>8</v>
      </c>
      <c r="E168" s="373" t="s">
        <v>503</v>
      </c>
      <c r="F168" s="230"/>
      <c r="G168" s="262" t="s">
        <v>265</v>
      </c>
      <c r="H168" s="250">
        <v>45929</v>
      </c>
      <c r="I168" s="207">
        <v>2</v>
      </c>
      <c r="J168" s="187" t="s">
        <v>504</v>
      </c>
      <c r="K168" s="235">
        <v>9649</v>
      </c>
      <c r="L168" s="207" t="s">
        <v>502</v>
      </c>
      <c r="M168" s="237"/>
      <c r="N168" s="207"/>
      <c r="O168" s="239"/>
      <c r="P168" s="249">
        <v>46080</v>
      </c>
      <c r="Q168" s="254"/>
      <c r="R168" s="209" t="str">
        <f t="shared" si="2"/>
        <v/>
      </c>
      <c r="S168" s="187"/>
    </row>
    <row r="169" spans="1:27" ht="18" customHeight="1">
      <c r="A169" s="230">
        <v>39074</v>
      </c>
      <c r="B169" s="231">
        <v>72820</v>
      </c>
      <c r="C169" s="187" t="s">
        <v>41</v>
      </c>
      <c r="D169" s="230">
        <v>3</v>
      </c>
      <c r="E169" s="373" t="s">
        <v>505</v>
      </c>
      <c r="F169" s="230"/>
      <c r="G169" s="262" t="s">
        <v>265</v>
      </c>
      <c r="H169" s="250">
        <v>45929</v>
      </c>
      <c r="I169" s="207">
        <v>3</v>
      </c>
      <c r="J169" s="187" t="s">
        <v>506</v>
      </c>
      <c r="K169" s="235">
        <v>25262</v>
      </c>
      <c r="L169" s="207" t="s">
        <v>502</v>
      </c>
      <c r="M169" s="237"/>
      <c r="N169" s="207"/>
      <c r="O169" s="239"/>
      <c r="P169" s="249">
        <v>46080</v>
      </c>
      <c r="Q169" s="254"/>
      <c r="R169" s="209" t="str">
        <f t="shared" si="2"/>
        <v/>
      </c>
      <c r="S169" s="187"/>
    </row>
    <row r="170" spans="1:27" ht="18" customHeight="1">
      <c r="A170" s="267">
        <v>39074</v>
      </c>
      <c r="B170" s="268">
        <v>72967</v>
      </c>
      <c r="C170" s="269" t="s">
        <v>41</v>
      </c>
      <c r="D170" s="267">
        <v>1</v>
      </c>
      <c r="E170" s="270" t="s">
        <v>507</v>
      </c>
      <c r="F170" s="267"/>
      <c r="G170" s="344" t="s">
        <v>244</v>
      </c>
      <c r="H170" s="271">
        <v>45995</v>
      </c>
      <c r="I170" s="390" t="s">
        <v>534</v>
      </c>
      <c r="J170" s="269" t="s">
        <v>501</v>
      </c>
      <c r="K170" s="273">
        <v>29696</v>
      </c>
      <c r="L170" s="323" t="s">
        <v>545</v>
      </c>
      <c r="M170" s="282"/>
      <c r="N170" s="272"/>
      <c r="O170" s="283"/>
      <c r="P170" s="284">
        <v>46134</v>
      </c>
      <c r="Q170" s="254"/>
      <c r="R170" s="209" t="str">
        <f t="shared" si="2"/>
        <v/>
      </c>
      <c r="S170" s="187"/>
      <c r="AA170" s="230">
        <v>1504</v>
      </c>
    </row>
    <row r="171" spans="1:27" ht="18" customHeight="1">
      <c r="A171" s="230"/>
      <c r="B171" s="231"/>
      <c r="C171" s="187"/>
      <c r="D171" s="230"/>
      <c r="E171" s="232"/>
      <c r="F171" s="230"/>
      <c r="G171" s="187"/>
      <c r="H171" s="250"/>
      <c r="J171" s="187"/>
      <c r="M171" s="237"/>
      <c r="N171" s="207"/>
      <c r="O171" s="239"/>
      <c r="P171" s="249"/>
      <c r="Q171" s="254"/>
      <c r="R171" s="209" t="str">
        <f t="shared" si="2"/>
        <v/>
      </c>
      <c r="S171" s="187"/>
    </row>
    <row r="172" spans="1:27" ht="18" customHeight="1">
      <c r="A172" s="230">
        <v>39082</v>
      </c>
      <c r="B172" s="231">
        <v>72840</v>
      </c>
      <c r="C172" s="187" t="s">
        <v>41</v>
      </c>
      <c r="D172" s="230">
        <v>5</v>
      </c>
      <c r="E172" s="373" t="s">
        <v>508</v>
      </c>
      <c r="F172" s="230"/>
      <c r="G172" s="324" t="s">
        <v>355</v>
      </c>
      <c r="H172" s="250">
        <v>45933</v>
      </c>
      <c r="I172" s="207">
        <v>1</v>
      </c>
      <c r="J172" s="187" t="s">
        <v>509</v>
      </c>
      <c r="K172" s="235">
        <v>7783</v>
      </c>
      <c r="L172" s="207" t="s">
        <v>517</v>
      </c>
      <c r="M172" s="237"/>
      <c r="N172" s="207"/>
      <c r="O172" s="239"/>
      <c r="P172" s="326">
        <v>46066</v>
      </c>
      <c r="Q172" s="254"/>
      <c r="R172" s="209" t="str">
        <f t="shared" si="2"/>
        <v/>
      </c>
      <c r="S172" s="187"/>
    </row>
    <row r="173" spans="1:27" ht="18" customHeight="1">
      <c r="A173" s="230">
        <v>39082</v>
      </c>
      <c r="B173" s="231">
        <v>72841</v>
      </c>
      <c r="C173" s="187" t="s">
        <v>41</v>
      </c>
      <c r="D173" s="230">
        <v>1</v>
      </c>
      <c r="E173" s="373" t="s">
        <v>510</v>
      </c>
      <c r="F173" s="230"/>
      <c r="G173" s="324" t="s">
        <v>355</v>
      </c>
      <c r="H173" s="250">
        <v>45933</v>
      </c>
      <c r="I173" s="207">
        <v>2</v>
      </c>
      <c r="J173" s="187" t="s">
        <v>511</v>
      </c>
      <c r="K173" s="235">
        <v>10783</v>
      </c>
      <c r="L173" s="207" t="s">
        <v>517</v>
      </c>
      <c r="M173" s="237"/>
      <c r="N173" s="207"/>
      <c r="O173" s="239"/>
      <c r="P173" s="249">
        <v>46066</v>
      </c>
      <c r="Q173" s="254"/>
      <c r="R173" s="209" t="str">
        <f t="shared" si="2"/>
        <v/>
      </c>
      <c r="S173" s="187"/>
    </row>
    <row r="174" spans="1:27" ht="18" customHeight="1">
      <c r="A174" s="230">
        <v>39082</v>
      </c>
      <c r="B174" s="231">
        <v>72842</v>
      </c>
      <c r="C174" s="187" t="s">
        <v>41</v>
      </c>
      <c r="D174" s="230">
        <v>1</v>
      </c>
      <c r="E174" s="373" t="s">
        <v>512</v>
      </c>
      <c r="F174" s="230"/>
      <c r="G174" s="324" t="s">
        <v>355</v>
      </c>
      <c r="H174" s="250">
        <v>45933</v>
      </c>
      <c r="I174" s="207">
        <v>3</v>
      </c>
      <c r="J174" s="187" t="s">
        <v>513</v>
      </c>
      <c r="K174" s="235">
        <v>15491</v>
      </c>
      <c r="L174" s="207" t="s">
        <v>517</v>
      </c>
      <c r="M174" s="237"/>
      <c r="N174" s="207"/>
      <c r="O174" s="239"/>
      <c r="P174" s="249">
        <v>46066</v>
      </c>
      <c r="Q174" s="254"/>
      <c r="R174" s="209" t="str">
        <f t="shared" si="2"/>
        <v/>
      </c>
      <c r="S174" s="187"/>
    </row>
    <row r="175" spans="1:27" ht="18" customHeight="1">
      <c r="A175" s="230">
        <v>39082</v>
      </c>
      <c r="B175" s="231">
        <v>72843</v>
      </c>
      <c r="C175" s="187" t="s">
        <v>41</v>
      </c>
      <c r="D175" s="230">
        <v>1</v>
      </c>
      <c r="E175" s="232" t="s">
        <v>597</v>
      </c>
      <c r="F175" s="230"/>
      <c r="G175" s="324" t="s">
        <v>355</v>
      </c>
      <c r="H175" s="250">
        <v>45933</v>
      </c>
      <c r="I175" s="207">
        <v>4</v>
      </c>
      <c r="J175" s="187" t="s">
        <v>514</v>
      </c>
      <c r="K175" s="235">
        <v>10117</v>
      </c>
      <c r="L175" s="207" t="s">
        <v>517</v>
      </c>
      <c r="M175" s="237"/>
      <c r="N175" s="207"/>
      <c r="O175" s="239"/>
      <c r="P175" s="249">
        <v>46066</v>
      </c>
      <c r="Q175" s="254"/>
      <c r="R175" s="209" t="str">
        <f t="shared" si="2"/>
        <v/>
      </c>
      <c r="S175" s="187"/>
    </row>
    <row r="176" spans="1:27" ht="18" customHeight="1">
      <c r="A176" s="230">
        <v>39082</v>
      </c>
      <c r="B176" s="231">
        <v>72844</v>
      </c>
      <c r="C176" s="187" t="s">
        <v>41</v>
      </c>
      <c r="D176" s="230">
        <v>2</v>
      </c>
      <c r="E176" s="373" t="s">
        <v>515</v>
      </c>
      <c r="F176" s="230"/>
      <c r="G176" s="324" t="s">
        <v>355</v>
      </c>
      <c r="H176" s="250">
        <v>45933</v>
      </c>
      <c r="I176" s="207">
        <v>5</v>
      </c>
      <c r="J176" s="187" t="s">
        <v>516</v>
      </c>
      <c r="K176" s="235">
        <v>20286</v>
      </c>
      <c r="L176" s="207" t="s">
        <v>517</v>
      </c>
      <c r="M176" s="237"/>
      <c r="N176" s="207"/>
      <c r="O176" s="239"/>
      <c r="P176" s="249">
        <v>46066</v>
      </c>
      <c r="Q176" s="254"/>
      <c r="R176" s="209" t="str">
        <f t="shared" si="2"/>
        <v/>
      </c>
      <c r="S176" s="187"/>
    </row>
    <row r="177" spans="1:27" ht="18" customHeight="1">
      <c r="A177" s="230"/>
      <c r="B177" s="231"/>
      <c r="C177" s="187"/>
      <c r="D177" s="230"/>
      <c r="E177" s="232"/>
      <c r="F177" s="230"/>
      <c r="G177" s="187"/>
      <c r="H177" s="250"/>
      <c r="J177" s="187"/>
      <c r="M177" s="237"/>
      <c r="N177" s="207"/>
      <c r="O177" s="239"/>
      <c r="P177" s="249"/>
      <c r="Q177" s="254"/>
      <c r="R177" s="209" t="str">
        <f t="shared" si="2"/>
        <v/>
      </c>
      <c r="S177" s="187"/>
      <c r="AA177" s="230">
        <v>1512</v>
      </c>
    </row>
    <row r="178" spans="1:27" ht="18" customHeight="1">
      <c r="A178" s="237" t="s">
        <v>266</v>
      </c>
      <c r="B178" s="231">
        <v>72855</v>
      </c>
      <c r="C178" s="187" t="s">
        <v>340</v>
      </c>
      <c r="D178" s="230">
        <v>3</v>
      </c>
      <c r="E178" s="232" t="s">
        <v>520</v>
      </c>
      <c r="F178" s="230"/>
      <c r="G178" s="187" t="s">
        <v>521</v>
      </c>
      <c r="H178" s="250">
        <v>45937</v>
      </c>
      <c r="J178" s="187" t="s">
        <v>522</v>
      </c>
      <c r="M178" s="237"/>
      <c r="N178" s="207"/>
      <c r="O178" s="239"/>
      <c r="P178" s="249">
        <v>45937</v>
      </c>
      <c r="Q178" s="254"/>
      <c r="R178" s="209" t="str">
        <f t="shared" si="2"/>
        <v/>
      </c>
      <c r="S178" s="187"/>
    </row>
    <row r="179" spans="1:27" ht="18" customHeight="1">
      <c r="A179" s="230"/>
      <c r="B179" s="231"/>
      <c r="C179" s="187"/>
      <c r="D179" s="230"/>
      <c r="E179" s="232"/>
      <c r="F179" s="230"/>
      <c r="G179" s="187"/>
      <c r="H179" s="250"/>
      <c r="J179" s="187"/>
      <c r="M179" s="237"/>
      <c r="N179" s="207"/>
      <c r="O179" s="239"/>
      <c r="P179" s="249"/>
      <c r="Q179" s="254"/>
      <c r="R179" s="209" t="str">
        <f t="shared" si="2"/>
        <v/>
      </c>
      <c r="S179" s="187"/>
      <c r="AA179" s="230">
        <v>1513</v>
      </c>
    </row>
    <row r="180" spans="1:27" ht="18" customHeight="1">
      <c r="A180" s="230">
        <v>39132</v>
      </c>
      <c r="B180" s="231">
        <v>72906</v>
      </c>
      <c r="C180" s="187" t="s">
        <v>41</v>
      </c>
      <c r="D180" s="230">
        <v>3</v>
      </c>
      <c r="E180" s="384" t="s">
        <v>523</v>
      </c>
      <c r="F180" s="230">
        <v>0</v>
      </c>
      <c r="G180" s="187" t="s">
        <v>244</v>
      </c>
      <c r="H180" s="250">
        <v>45960</v>
      </c>
      <c r="I180" s="207">
        <v>1</v>
      </c>
      <c r="J180" s="187" t="s">
        <v>524</v>
      </c>
      <c r="K180" s="235">
        <v>29698</v>
      </c>
      <c r="L180" s="354" t="s">
        <v>581</v>
      </c>
      <c r="M180" s="237"/>
      <c r="N180" s="207"/>
      <c r="O180" s="239"/>
      <c r="P180" s="385">
        <v>46080</v>
      </c>
      <c r="Q180" s="254"/>
      <c r="R180" s="209" t="str">
        <f t="shared" si="2"/>
        <v/>
      </c>
      <c r="S180" s="187"/>
    </row>
    <row r="181" spans="1:27" ht="18" customHeight="1">
      <c r="A181" s="230"/>
      <c r="B181" s="231"/>
      <c r="C181" s="187"/>
      <c r="D181" s="230"/>
      <c r="E181" s="232"/>
      <c r="F181" s="230"/>
      <c r="G181" s="187"/>
      <c r="H181" s="250"/>
      <c r="J181" s="187"/>
      <c r="M181" s="237"/>
      <c r="N181" s="207"/>
      <c r="O181" s="239"/>
      <c r="P181" s="249"/>
      <c r="Q181" s="254"/>
      <c r="R181" s="209" t="str">
        <f t="shared" si="2"/>
        <v/>
      </c>
      <c r="S181" s="187"/>
      <c r="AA181" s="230">
        <v>1517</v>
      </c>
    </row>
    <row r="182" spans="1:27" ht="18" customHeight="1">
      <c r="A182" s="328">
        <v>39142</v>
      </c>
      <c r="B182" s="329">
        <v>72924</v>
      </c>
      <c r="C182" s="330" t="s">
        <v>41</v>
      </c>
      <c r="D182" s="328">
        <v>2</v>
      </c>
      <c r="E182" s="374" t="s">
        <v>387</v>
      </c>
      <c r="F182" s="328"/>
      <c r="G182" s="332" t="s">
        <v>265</v>
      </c>
      <c r="H182" s="333">
        <v>45974</v>
      </c>
      <c r="I182" s="334">
        <v>1</v>
      </c>
      <c r="J182" s="330" t="s">
        <v>388</v>
      </c>
      <c r="K182" s="335">
        <v>17821</v>
      </c>
      <c r="L182" s="334" t="s">
        <v>527</v>
      </c>
      <c r="M182" s="336"/>
      <c r="N182" s="334"/>
      <c r="O182" s="337"/>
      <c r="P182" s="339">
        <v>46244</v>
      </c>
      <c r="Q182" s="254"/>
      <c r="R182" s="209" t="str">
        <f t="shared" si="2"/>
        <v/>
      </c>
      <c r="S182" s="187"/>
      <c r="AA182" s="230">
        <v>1518</v>
      </c>
    </row>
    <row r="183" spans="1:27" ht="18" customHeight="1">
      <c r="A183" s="328">
        <v>39142</v>
      </c>
      <c r="B183" s="329">
        <v>72925</v>
      </c>
      <c r="C183" s="330" t="s">
        <v>41</v>
      </c>
      <c r="D183" s="328">
        <v>2</v>
      </c>
      <c r="E183" s="374" t="s">
        <v>389</v>
      </c>
      <c r="F183" s="328"/>
      <c r="G183" s="332" t="s">
        <v>265</v>
      </c>
      <c r="H183" s="333">
        <v>45974</v>
      </c>
      <c r="I183" s="334">
        <v>2</v>
      </c>
      <c r="J183" s="330" t="s">
        <v>390</v>
      </c>
      <c r="K183" s="335">
        <v>38376</v>
      </c>
      <c r="L183" s="334" t="s">
        <v>527</v>
      </c>
      <c r="M183" s="336"/>
      <c r="N183" s="334"/>
      <c r="O183" s="337"/>
      <c r="P183" s="339">
        <v>46244</v>
      </c>
      <c r="Q183" s="254"/>
      <c r="R183" s="209" t="str">
        <f t="shared" si="2"/>
        <v/>
      </c>
      <c r="S183" s="187"/>
      <c r="AA183" s="230">
        <v>1519</v>
      </c>
    </row>
    <row r="184" spans="1:27" ht="18" customHeight="1">
      <c r="A184" s="328">
        <v>39142</v>
      </c>
      <c r="B184" s="329">
        <v>72926</v>
      </c>
      <c r="C184" s="330" t="s">
        <v>41</v>
      </c>
      <c r="D184" s="328">
        <v>2</v>
      </c>
      <c r="E184" s="374" t="s">
        <v>391</v>
      </c>
      <c r="F184" s="328"/>
      <c r="G184" s="332" t="s">
        <v>265</v>
      </c>
      <c r="H184" s="333">
        <v>45974</v>
      </c>
      <c r="I184" s="334">
        <v>3</v>
      </c>
      <c r="J184" s="330" t="s">
        <v>392</v>
      </c>
      <c r="K184" s="335">
        <v>2911</v>
      </c>
      <c r="L184" s="334" t="s">
        <v>527</v>
      </c>
      <c r="M184" s="336"/>
      <c r="N184" s="334"/>
      <c r="O184" s="337"/>
      <c r="P184" s="339">
        <v>46244</v>
      </c>
      <c r="Q184" s="254"/>
      <c r="R184" s="209" t="str">
        <f t="shared" si="2"/>
        <v/>
      </c>
      <c r="S184" s="187"/>
      <c r="AA184" s="230">
        <v>1520</v>
      </c>
    </row>
    <row r="185" spans="1:27" ht="18" customHeight="1">
      <c r="A185" s="328">
        <v>39142</v>
      </c>
      <c r="B185" s="329">
        <v>72927</v>
      </c>
      <c r="C185" s="330" t="s">
        <v>41</v>
      </c>
      <c r="D185" s="328">
        <v>2</v>
      </c>
      <c r="E185" s="331" t="s">
        <v>393</v>
      </c>
      <c r="F185" s="328"/>
      <c r="G185" s="332" t="s">
        <v>265</v>
      </c>
      <c r="H185" s="333">
        <v>45974</v>
      </c>
      <c r="I185" s="334">
        <v>4</v>
      </c>
      <c r="J185" s="330" t="s">
        <v>394</v>
      </c>
      <c r="K185" s="335">
        <v>4617</v>
      </c>
      <c r="L185" s="334" t="s">
        <v>527</v>
      </c>
      <c r="M185" s="336"/>
      <c r="N185" s="334"/>
      <c r="O185" s="337"/>
      <c r="P185" s="339">
        <v>46244</v>
      </c>
      <c r="Q185" s="254"/>
      <c r="R185" s="209" t="str">
        <f t="shared" si="2"/>
        <v/>
      </c>
      <c r="S185" s="187"/>
    </row>
    <row r="186" spans="1:27" ht="18" customHeight="1">
      <c r="A186" s="328">
        <v>39142</v>
      </c>
      <c r="B186" s="329">
        <v>72928</v>
      </c>
      <c r="C186" s="330" t="s">
        <v>41</v>
      </c>
      <c r="D186" s="328">
        <v>6</v>
      </c>
      <c r="E186" s="374" t="s">
        <v>395</v>
      </c>
      <c r="F186" s="328"/>
      <c r="G186" s="332" t="s">
        <v>265</v>
      </c>
      <c r="H186" s="333">
        <v>45974</v>
      </c>
      <c r="I186" s="334">
        <v>5</v>
      </c>
      <c r="J186" s="330" t="s">
        <v>396</v>
      </c>
      <c r="K186" s="335">
        <v>10453</v>
      </c>
      <c r="L186" s="334" t="s">
        <v>527</v>
      </c>
      <c r="M186" s="336"/>
      <c r="N186" s="334"/>
      <c r="O186" s="337"/>
      <c r="P186" s="339">
        <v>46244</v>
      </c>
      <c r="Q186" s="254"/>
      <c r="R186" s="209" t="str">
        <f t="shared" si="2"/>
        <v/>
      </c>
      <c r="S186" s="187"/>
      <c r="AA186" s="230">
        <v>1521</v>
      </c>
    </row>
    <row r="187" spans="1:27" ht="18" customHeight="1">
      <c r="A187" s="328">
        <v>39142</v>
      </c>
      <c r="B187" s="329">
        <v>72929</v>
      </c>
      <c r="C187" s="330" t="s">
        <v>41</v>
      </c>
      <c r="D187" s="328">
        <v>2</v>
      </c>
      <c r="E187" s="374" t="s">
        <v>397</v>
      </c>
      <c r="F187" s="328"/>
      <c r="G187" s="332" t="s">
        <v>265</v>
      </c>
      <c r="H187" s="333">
        <v>45974</v>
      </c>
      <c r="I187" s="334">
        <v>6</v>
      </c>
      <c r="J187" s="330" t="s">
        <v>398</v>
      </c>
      <c r="K187" s="335">
        <v>79970</v>
      </c>
      <c r="L187" s="334" t="s">
        <v>527</v>
      </c>
      <c r="M187" s="336"/>
      <c r="N187" s="334"/>
      <c r="O187" s="337"/>
      <c r="P187" s="339">
        <v>46244</v>
      </c>
      <c r="Q187" s="254"/>
      <c r="R187" s="209" t="str">
        <f t="shared" si="2"/>
        <v/>
      </c>
      <c r="S187" s="187"/>
      <c r="AA187" s="230">
        <v>1522</v>
      </c>
    </row>
    <row r="188" spans="1:27" ht="18" customHeight="1">
      <c r="A188" s="328">
        <v>39142</v>
      </c>
      <c r="B188" s="312">
        <v>72930</v>
      </c>
      <c r="C188" s="330" t="s">
        <v>41</v>
      </c>
      <c r="D188" s="328">
        <v>2</v>
      </c>
      <c r="E188" s="374" t="s">
        <v>399</v>
      </c>
      <c r="F188" s="328"/>
      <c r="G188" s="332" t="s">
        <v>265</v>
      </c>
      <c r="H188" s="333">
        <v>45974</v>
      </c>
      <c r="I188" s="334">
        <v>7</v>
      </c>
      <c r="J188" s="330" t="s">
        <v>400</v>
      </c>
      <c r="K188" s="335">
        <v>50363</v>
      </c>
      <c r="L188" s="334" t="s">
        <v>527</v>
      </c>
      <c r="M188" s="336"/>
      <c r="N188" s="334"/>
      <c r="O188" s="337"/>
      <c r="P188" s="339">
        <v>46244</v>
      </c>
      <c r="Q188" s="254"/>
      <c r="R188" s="209" t="str">
        <f t="shared" si="2"/>
        <v/>
      </c>
      <c r="S188" s="187"/>
    </row>
    <row r="189" spans="1:27" ht="18" customHeight="1">
      <c r="A189" s="328">
        <v>39142</v>
      </c>
      <c r="B189" s="329">
        <v>72931</v>
      </c>
      <c r="C189" s="330" t="s">
        <v>41</v>
      </c>
      <c r="D189" s="328">
        <v>1</v>
      </c>
      <c r="E189" s="374" t="s">
        <v>401</v>
      </c>
      <c r="F189" s="328"/>
      <c r="G189" s="332" t="s">
        <v>265</v>
      </c>
      <c r="H189" s="333">
        <v>45974</v>
      </c>
      <c r="I189" s="334">
        <v>8</v>
      </c>
      <c r="J189" s="330" t="s">
        <v>402</v>
      </c>
      <c r="K189" s="335">
        <v>16754</v>
      </c>
      <c r="L189" s="334" t="s">
        <v>527</v>
      </c>
      <c r="M189" s="336"/>
      <c r="N189" s="334"/>
      <c r="O189" s="337"/>
      <c r="P189" s="339">
        <v>46244</v>
      </c>
      <c r="Q189" s="254"/>
      <c r="R189" s="209" t="str">
        <f t="shared" si="2"/>
        <v/>
      </c>
      <c r="S189" s="187"/>
      <c r="AA189" s="230">
        <v>1523</v>
      </c>
    </row>
    <row r="190" spans="1:27" ht="18" customHeight="1">
      <c r="A190" s="328">
        <v>39142</v>
      </c>
      <c r="B190" s="329">
        <v>72932</v>
      </c>
      <c r="C190" s="330" t="s">
        <v>41</v>
      </c>
      <c r="D190" s="328">
        <v>1</v>
      </c>
      <c r="E190" s="374" t="s">
        <v>403</v>
      </c>
      <c r="F190" s="328"/>
      <c r="G190" s="332" t="s">
        <v>265</v>
      </c>
      <c r="H190" s="333">
        <v>45974</v>
      </c>
      <c r="I190" s="334">
        <v>10</v>
      </c>
      <c r="J190" s="330" t="s">
        <v>404</v>
      </c>
      <c r="K190" s="335">
        <v>18455</v>
      </c>
      <c r="L190" s="334" t="s">
        <v>527</v>
      </c>
      <c r="M190" s="336"/>
      <c r="N190" s="334"/>
      <c r="O190" s="337"/>
      <c r="P190" s="339">
        <v>46244</v>
      </c>
      <c r="Q190" s="254"/>
      <c r="R190" s="209" t="str">
        <f t="shared" si="2"/>
        <v/>
      </c>
      <c r="S190" s="187"/>
    </row>
    <row r="191" spans="1:27" ht="18" customHeight="1">
      <c r="A191" s="328">
        <v>39142</v>
      </c>
      <c r="B191" s="329">
        <v>72933</v>
      </c>
      <c r="C191" s="330" t="s">
        <v>41</v>
      </c>
      <c r="D191" s="328">
        <v>2</v>
      </c>
      <c r="E191" s="374" t="s">
        <v>405</v>
      </c>
      <c r="F191" s="328"/>
      <c r="G191" s="332" t="s">
        <v>265</v>
      </c>
      <c r="H191" s="333">
        <v>45974</v>
      </c>
      <c r="I191" s="334">
        <v>11</v>
      </c>
      <c r="J191" s="330" t="s">
        <v>406</v>
      </c>
      <c r="K191" s="335">
        <v>775</v>
      </c>
      <c r="L191" s="334" t="s">
        <v>527</v>
      </c>
      <c r="M191" s="336"/>
      <c r="N191" s="334"/>
      <c r="O191" s="337"/>
      <c r="P191" s="339">
        <v>46244</v>
      </c>
      <c r="Q191" s="254"/>
      <c r="R191" s="209" t="str">
        <f t="shared" si="2"/>
        <v/>
      </c>
      <c r="S191" s="187"/>
    </row>
    <row r="192" spans="1:27" ht="18" customHeight="1">
      <c r="A192" s="328">
        <v>39142</v>
      </c>
      <c r="B192" s="329">
        <v>72934</v>
      </c>
      <c r="C192" s="330" t="s">
        <v>41</v>
      </c>
      <c r="D192" s="328">
        <v>2</v>
      </c>
      <c r="E192" s="374" t="s">
        <v>407</v>
      </c>
      <c r="F192" s="328"/>
      <c r="G192" s="332" t="s">
        <v>265</v>
      </c>
      <c r="H192" s="333">
        <v>45974</v>
      </c>
      <c r="I192" s="334">
        <v>12</v>
      </c>
      <c r="J192" s="330" t="s">
        <v>408</v>
      </c>
      <c r="K192" s="335">
        <v>6408</v>
      </c>
      <c r="L192" s="334" t="s">
        <v>527</v>
      </c>
      <c r="M192" s="336"/>
      <c r="N192" s="334"/>
      <c r="O192" s="337"/>
      <c r="P192" s="339">
        <v>46244</v>
      </c>
      <c r="Q192" s="254"/>
      <c r="R192" s="209" t="str">
        <f t="shared" si="2"/>
        <v/>
      </c>
      <c r="S192" s="187"/>
      <c r="AA192" s="230">
        <v>1525</v>
      </c>
    </row>
    <row r="193" spans="1:27" ht="18" customHeight="1">
      <c r="A193" s="328">
        <v>39142</v>
      </c>
      <c r="B193" s="329">
        <v>72935</v>
      </c>
      <c r="C193" s="330" t="s">
        <v>41</v>
      </c>
      <c r="D193" s="328">
        <v>2</v>
      </c>
      <c r="E193" s="374" t="s">
        <v>409</v>
      </c>
      <c r="F193" s="328"/>
      <c r="G193" s="332" t="s">
        <v>265</v>
      </c>
      <c r="H193" s="333">
        <v>45974</v>
      </c>
      <c r="I193" s="334">
        <v>13</v>
      </c>
      <c r="J193" s="330" t="s">
        <v>410</v>
      </c>
      <c r="K193" s="335">
        <v>2057</v>
      </c>
      <c r="L193" s="334" t="s">
        <v>527</v>
      </c>
      <c r="M193" s="336"/>
      <c r="N193" s="334"/>
      <c r="O193" s="337"/>
      <c r="P193" s="339">
        <v>46244</v>
      </c>
      <c r="Q193" s="254"/>
      <c r="R193" s="209" t="str">
        <f t="shared" si="2"/>
        <v/>
      </c>
      <c r="S193" s="187"/>
    </row>
    <row r="194" spans="1:27" ht="18" customHeight="1">
      <c r="A194" s="328">
        <v>39142</v>
      </c>
      <c r="B194" s="329">
        <v>72936</v>
      </c>
      <c r="C194" s="330" t="s">
        <v>41</v>
      </c>
      <c r="D194" s="328">
        <v>2</v>
      </c>
      <c r="E194" s="331" t="s">
        <v>411</v>
      </c>
      <c r="F194" s="328"/>
      <c r="G194" s="332" t="s">
        <v>265</v>
      </c>
      <c r="H194" s="333">
        <v>45974</v>
      </c>
      <c r="I194" s="334">
        <v>14</v>
      </c>
      <c r="J194" s="330" t="s">
        <v>412</v>
      </c>
      <c r="K194" s="335">
        <v>70664</v>
      </c>
      <c r="L194" s="334" t="s">
        <v>527</v>
      </c>
      <c r="M194" s="336"/>
      <c r="N194" s="334"/>
      <c r="O194" s="337"/>
      <c r="P194" s="339">
        <v>46244</v>
      </c>
      <c r="Q194" s="254"/>
      <c r="R194" s="209" t="str">
        <f t="shared" si="2"/>
        <v/>
      </c>
      <c r="S194" s="187"/>
      <c r="AA194" s="230">
        <v>1526</v>
      </c>
    </row>
    <row r="195" spans="1:27" ht="18" customHeight="1">
      <c r="A195" s="328">
        <v>39142</v>
      </c>
      <c r="B195" s="329">
        <v>72937</v>
      </c>
      <c r="C195" s="330" t="s">
        <v>41</v>
      </c>
      <c r="D195" s="328">
        <v>2</v>
      </c>
      <c r="E195" s="374" t="s">
        <v>413</v>
      </c>
      <c r="F195" s="328"/>
      <c r="G195" s="332" t="s">
        <v>265</v>
      </c>
      <c r="H195" s="333">
        <v>45974</v>
      </c>
      <c r="I195" s="334">
        <v>15</v>
      </c>
      <c r="J195" s="330" t="s">
        <v>414</v>
      </c>
      <c r="K195" s="335">
        <v>6646</v>
      </c>
      <c r="L195" s="334" t="s">
        <v>527</v>
      </c>
      <c r="M195" s="336"/>
      <c r="N195" s="334"/>
      <c r="O195" s="337"/>
      <c r="P195" s="339">
        <v>46244</v>
      </c>
      <c r="Q195" s="254"/>
      <c r="R195" s="209" t="str">
        <f t="shared" si="2"/>
        <v/>
      </c>
      <c r="S195" s="187"/>
    </row>
    <row r="196" spans="1:27" ht="18" customHeight="1">
      <c r="A196" s="328">
        <v>39142</v>
      </c>
      <c r="B196" s="329">
        <v>72938</v>
      </c>
      <c r="C196" s="330" t="s">
        <v>41</v>
      </c>
      <c r="D196" s="328">
        <v>2</v>
      </c>
      <c r="E196" s="374" t="s">
        <v>415</v>
      </c>
      <c r="F196" s="328"/>
      <c r="G196" s="332" t="s">
        <v>265</v>
      </c>
      <c r="H196" s="333">
        <v>45974</v>
      </c>
      <c r="I196" s="334">
        <v>16</v>
      </c>
      <c r="J196" s="330" t="s">
        <v>416</v>
      </c>
      <c r="K196" s="335">
        <v>660</v>
      </c>
      <c r="L196" s="334" t="s">
        <v>527</v>
      </c>
      <c r="M196" s="336"/>
      <c r="N196" s="334"/>
      <c r="O196" s="337"/>
      <c r="P196" s="339">
        <v>46244</v>
      </c>
      <c r="Q196" s="254"/>
      <c r="R196" s="209" t="str">
        <f t="shared" ref="R196:R259" si="3">IF(SUM(Q196)&gt;0,SUM(Q196-P196),"")</f>
        <v/>
      </c>
      <c r="S196" s="187"/>
    </row>
    <row r="197" spans="1:27" ht="18" customHeight="1">
      <c r="A197" s="328">
        <v>39142</v>
      </c>
      <c r="B197" s="329">
        <v>72939</v>
      </c>
      <c r="C197" s="330" t="s">
        <v>41</v>
      </c>
      <c r="D197" s="328">
        <v>2</v>
      </c>
      <c r="E197" s="374" t="s">
        <v>417</v>
      </c>
      <c r="F197" s="328"/>
      <c r="G197" s="332" t="s">
        <v>265</v>
      </c>
      <c r="H197" s="333">
        <v>45974</v>
      </c>
      <c r="I197" s="334">
        <v>17</v>
      </c>
      <c r="J197" s="330" t="s">
        <v>528</v>
      </c>
      <c r="K197" s="335">
        <v>662</v>
      </c>
      <c r="L197" s="334" t="s">
        <v>527</v>
      </c>
      <c r="M197" s="336"/>
      <c r="N197" s="334"/>
      <c r="O197" s="337"/>
      <c r="P197" s="339">
        <v>46244</v>
      </c>
      <c r="Q197" s="254"/>
      <c r="R197" s="209" t="str">
        <f t="shared" si="3"/>
        <v/>
      </c>
      <c r="S197" s="187"/>
      <c r="AA197" s="230">
        <v>1528</v>
      </c>
    </row>
    <row r="198" spans="1:27" ht="18" customHeight="1">
      <c r="A198" s="328">
        <v>39142</v>
      </c>
      <c r="B198" s="329">
        <v>72940</v>
      </c>
      <c r="C198" s="330" t="s">
        <v>41</v>
      </c>
      <c r="D198" s="328">
        <v>2</v>
      </c>
      <c r="E198" s="374" t="s">
        <v>419</v>
      </c>
      <c r="F198" s="328"/>
      <c r="G198" s="332" t="s">
        <v>265</v>
      </c>
      <c r="H198" s="333">
        <v>45974</v>
      </c>
      <c r="I198" s="334">
        <v>18</v>
      </c>
      <c r="J198" s="330" t="s">
        <v>529</v>
      </c>
      <c r="K198" s="335">
        <v>657</v>
      </c>
      <c r="L198" s="334" t="s">
        <v>527</v>
      </c>
      <c r="M198" s="336"/>
      <c r="N198" s="334"/>
      <c r="O198" s="337"/>
      <c r="P198" s="339">
        <v>46244</v>
      </c>
      <c r="Q198" s="254"/>
      <c r="R198" s="209" t="str">
        <f t="shared" si="3"/>
        <v/>
      </c>
      <c r="S198" s="187"/>
    </row>
    <row r="199" spans="1:27" ht="18" customHeight="1">
      <c r="A199" s="230"/>
      <c r="B199" s="231"/>
      <c r="C199" s="187"/>
      <c r="D199" s="230"/>
      <c r="E199" s="232"/>
      <c r="F199" s="230"/>
      <c r="G199" s="187"/>
      <c r="H199" s="250"/>
      <c r="J199" s="187"/>
      <c r="M199" s="237"/>
      <c r="N199" s="207"/>
      <c r="O199" s="239"/>
      <c r="P199" s="249"/>
      <c r="Q199" s="254"/>
      <c r="R199" s="209" t="str">
        <f t="shared" si="3"/>
        <v/>
      </c>
      <c r="S199" s="187"/>
    </row>
    <row r="200" spans="1:27" ht="18" customHeight="1">
      <c r="A200" s="230">
        <v>39144</v>
      </c>
      <c r="B200" s="231">
        <v>72942</v>
      </c>
      <c r="C200" s="187" t="s">
        <v>41</v>
      </c>
      <c r="D200" s="230" t="s">
        <v>530</v>
      </c>
      <c r="E200" s="232" t="s">
        <v>531</v>
      </c>
      <c r="F200" s="230">
        <v>1</v>
      </c>
      <c r="G200" s="187" t="s">
        <v>532</v>
      </c>
      <c r="H200" s="250">
        <v>45976</v>
      </c>
      <c r="I200" s="207">
        <v>2</v>
      </c>
      <c r="J200" s="187" t="s">
        <v>533</v>
      </c>
      <c r="L200" s="207" t="s">
        <v>271</v>
      </c>
      <c r="M200" s="237"/>
      <c r="N200" s="207"/>
      <c r="O200" s="239"/>
      <c r="P200" s="249">
        <v>46066</v>
      </c>
      <c r="Q200" s="254"/>
      <c r="R200" s="209" t="str">
        <f t="shared" si="3"/>
        <v/>
      </c>
      <c r="S200" s="187"/>
    </row>
    <row r="201" spans="1:27" ht="18" customHeight="1">
      <c r="A201" s="230"/>
      <c r="B201" s="231"/>
      <c r="C201" s="187"/>
      <c r="D201" s="230"/>
      <c r="E201" s="232"/>
      <c r="F201" s="230"/>
      <c r="G201" s="187"/>
      <c r="H201" s="250"/>
      <c r="J201" s="187"/>
      <c r="M201" s="237"/>
      <c r="N201" s="207"/>
      <c r="O201" s="239"/>
      <c r="P201" s="249"/>
      <c r="Q201" s="254"/>
      <c r="R201" s="209" t="str">
        <f t="shared" si="3"/>
        <v/>
      </c>
      <c r="S201" s="187"/>
    </row>
    <row r="202" spans="1:27" ht="18" customHeight="1">
      <c r="A202" s="230">
        <v>39147</v>
      </c>
      <c r="B202" s="231">
        <v>72945</v>
      </c>
      <c r="C202" s="187" t="s">
        <v>33</v>
      </c>
      <c r="D202" s="340">
        <v>16000</v>
      </c>
      <c r="E202" s="232" t="s">
        <v>45</v>
      </c>
      <c r="F202" s="230"/>
      <c r="G202" s="187" t="s">
        <v>242</v>
      </c>
      <c r="H202" s="250">
        <v>45978</v>
      </c>
      <c r="I202" s="207">
        <v>1</v>
      </c>
      <c r="J202" s="187" t="s">
        <v>536</v>
      </c>
      <c r="K202" s="235">
        <v>3.84</v>
      </c>
      <c r="L202" s="207" t="s">
        <v>535</v>
      </c>
      <c r="M202" s="237"/>
      <c r="N202" s="207"/>
      <c r="O202" s="239"/>
      <c r="P202" s="249">
        <v>46082</v>
      </c>
      <c r="Q202" s="254"/>
      <c r="R202" s="209" t="str">
        <f t="shared" si="3"/>
        <v/>
      </c>
      <c r="S202" s="187"/>
    </row>
    <row r="203" spans="1:27" ht="18" customHeight="1">
      <c r="A203" s="230"/>
      <c r="B203" s="231"/>
      <c r="C203" s="187"/>
      <c r="D203" s="230"/>
      <c r="E203" s="232"/>
      <c r="F203" s="230"/>
      <c r="G203" s="187"/>
      <c r="H203" s="250"/>
      <c r="J203" s="187"/>
      <c r="M203" s="237"/>
      <c r="N203" s="207"/>
      <c r="O203" s="239"/>
      <c r="P203" s="249"/>
      <c r="Q203" s="254"/>
      <c r="R203" s="209" t="str">
        <f t="shared" si="3"/>
        <v/>
      </c>
      <c r="S203" s="187"/>
      <c r="AA203" s="230">
        <v>1531</v>
      </c>
    </row>
    <row r="204" spans="1:27" ht="18" customHeight="1">
      <c r="A204" s="230">
        <v>39161</v>
      </c>
      <c r="B204" s="231">
        <v>72964</v>
      </c>
      <c r="C204" s="187" t="s">
        <v>4</v>
      </c>
      <c r="D204" s="230">
        <v>1</v>
      </c>
      <c r="E204" s="373" t="s">
        <v>561</v>
      </c>
      <c r="F204" s="230">
        <v>0</v>
      </c>
      <c r="G204" s="187" t="s">
        <v>562</v>
      </c>
      <c r="H204" s="250">
        <v>45995</v>
      </c>
      <c r="I204" s="207">
        <v>10</v>
      </c>
      <c r="J204" s="187" t="s">
        <v>563</v>
      </c>
      <c r="K204" s="235">
        <v>900</v>
      </c>
      <c r="L204" s="207">
        <v>280106227</v>
      </c>
      <c r="M204" s="237">
        <v>44878</v>
      </c>
      <c r="N204" s="207">
        <v>1</v>
      </c>
      <c r="O204" s="239">
        <v>53142</v>
      </c>
      <c r="P204" s="255" t="s">
        <v>564</v>
      </c>
      <c r="Q204" s="254">
        <v>46010</v>
      </c>
      <c r="R204" s="209" t="e">
        <f t="shared" si="3"/>
        <v>#VALUE!</v>
      </c>
      <c r="S204" s="187"/>
    </row>
    <row r="205" spans="1:27" ht="18" customHeight="1">
      <c r="A205" s="230"/>
      <c r="B205" s="231"/>
      <c r="C205" s="187"/>
      <c r="D205" s="230"/>
      <c r="E205" s="232"/>
      <c r="F205" s="230"/>
      <c r="G205" s="187"/>
      <c r="H205" s="250"/>
      <c r="J205" s="187"/>
      <c r="M205" s="237"/>
      <c r="N205" s="207"/>
      <c r="O205" s="239"/>
      <c r="P205" s="255"/>
      <c r="Q205" s="254"/>
      <c r="R205" s="209" t="str">
        <f t="shared" si="3"/>
        <v/>
      </c>
      <c r="S205" s="187"/>
      <c r="AA205" s="230">
        <v>1532</v>
      </c>
    </row>
    <row r="206" spans="1:27" ht="18" customHeight="1">
      <c r="A206" s="230">
        <v>39178</v>
      </c>
      <c r="B206" s="231">
        <v>73009</v>
      </c>
      <c r="C206" s="187" t="s">
        <v>41</v>
      </c>
      <c r="D206" s="230">
        <v>1</v>
      </c>
      <c r="E206" s="373" t="s">
        <v>577</v>
      </c>
      <c r="F206" s="230"/>
      <c r="G206" s="187" t="s">
        <v>547</v>
      </c>
      <c r="H206" s="250">
        <v>46015</v>
      </c>
      <c r="I206" s="390" t="s">
        <v>549</v>
      </c>
      <c r="J206" s="187" t="s">
        <v>550</v>
      </c>
      <c r="K206" s="235">
        <v>43580</v>
      </c>
      <c r="L206" s="354" t="s">
        <v>595</v>
      </c>
      <c r="M206" s="237"/>
      <c r="N206" s="207"/>
      <c r="O206" s="239"/>
      <c r="P206" s="255">
        <v>46150</v>
      </c>
      <c r="Q206" s="254"/>
      <c r="R206" s="209" t="str">
        <f t="shared" si="3"/>
        <v/>
      </c>
      <c r="S206" s="187"/>
    </row>
    <row r="207" spans="1:27" ht="18" customHeight="1">
      <c r="A207" s="230"/>
      <c r="B207" s="231"/>
      <c r="C207" s="187"/>
      <c r="D207" s="230"/>
      <c r="E207" s="232"/>
      <c r="F207" s="230"/>
      <c r="G207" s="187"/>
      <c r="H207" s="250"/>
      <c r="J207" s="187"/>
      <c r="M207" s="237"/>
      <c r="N207" s="207"/>
      <c r="O207" s="239"/>
      <c r="P207" s="249"/>
      <c r="Q207" s="254"/>
      <c r="R207" s="209" t="str">
        <f t="shared" si="3"/>
        <v/>
      </c>
      <c r="S207" s="187"/>
    </row>
    <row r="208" spans="1:27" ht="18" customHeight="1">
      <c r="A208" s="230">
        <v>39192</v>
      </c>
      <c r="B208" s="231">
        <v>73023</v>
      </c>
      <c r="C208" s="187" t="s">
        <v>41</v>
      </c>
      <c r="D208" s="230">
        <v>260</v>
      </c>
      <c r="E208" s="232" t="s">
        <v>589</v>
      </c>
      <c r="F208" s="230"/>
      <c r="G208" s="187" t="s">
        <v>552</v>
      </c>
      <c r="H208" s="250">
        <v>46020</v>
      </c>
      <c r="I208" s="207">
        <v>1</v>
      </c>
      <c r="J208" s="187" t="s">
        <v>553</v>
      </c>
      <c r="K208" s="235">
        <v>706.1</v>
      </c>
      <c r="L208" s="316" t="s">
        <v>762</v>
      </c>
      <c r="M208" s="237"/>
      <c r="N208" s="207"/>
      <c r="O208" s="239"/>
      <c r="P208" s="350">
        <v>46153</v>
      </c>
      <c r="Q208" s="254"/>
      <c r="R208" s="209" t="str">
        <f t="shared" si="3"/>
        <v/>
      </c>
      <c r="S208" s="187"/>
      <c r="AA208" s="230">
        <v>1533</v>
      </c>
    </row>
    <row r="209" spans="1:27" ht="18" customHeight="1">
      <c r="A209" s="230"/>
      <c r="B209" s="231"/>
      <c r="C209" s="187"/>
      <c r="D209" s="230"/>
      <c r="E209" s="232"/>
      <c r="F209" s="230"/>
      <c r="G209" s="187"/>
      <c r="H209" s="250"/>
      <c r="J209" s="187"/>
      <c r="M209" s="237"/>
      <c r="N209" s="207"/>
      <c r="O209" s="239"/>
      <c r="P209" s="249"/>
      <c r="Q209" s="254"/>
      <c r="R209" s="209" t="str">
        <f t="shared" si="3"/>
        <v/>
      </c>
      <c r="S209" s="187"/>
    </row>
    <row r="210" spans="1:27" ht="18" customHeight="1">
      <c r="A210" s="230">
        <v>39193</v>
      </c>
      <c r="B210" s="231">
        <v>73027</v>
      </c>
      <c r="C210" s="187" t="s">
        <v>41</v>
      </c>
      <c r="D210" s="230" t="s">
        <v>453</v>
      </c>
      <c r="E210" s="232" t="s">
        <v>555</v>
      </c>
      <c r="F210" s="230">
        <v>1</v>
      </c>
      <c r="G210" s="266" t="s">
        <v>319</v>
      </c>
      <c r="H210" s="250">
        <v>46021</v>
      </c>
      <c r="I210" s="207" t="s">
        <v>557</v>
      </c>
      <c r="J210" s="187" t="s">
        <v>556</v>
      </c>
      <c r="K210" s="351" t="s">
        <v>558</v>
      </c>
      <c r="L210" s="207" t="s">
        <v>559</v>
      </c>
      <c r="M210" s="237"/>
      <c r="N210" s="207"/>
      <c r="O210" s="239"/>
      <c r="P210" s="249">
        <v>46134</v>
      </c>
      <c r="Q210" s="254"/>
      <c r="R210" s="209" t="str">
        <f t="shared" si="3"/>
        <v/>
      </c>
      <c r="S210" s="187"/>
      <c r="AA210" s="230">
        <v>1534</v>
      </c>
    </row>
    <row r="211" spans="1:27" ht="18" customHeight="1">
      <c r="A211" s="230"/>
      <c r="B211" s="231"/>
      <c r="C211" s="187"/>
      <c r="D211" s="230"/>
      <c r="E211" s="232"/>
      <c r="F211" s="230"/>
      <c r="G211" s="187"/>
      <c r="H211" s="250"/>
      <c r="J211" s="187"/>
      <c r="M211" s="237"/>
      <c r="N211" s="207"/>
      <c r="O211" s="239"/>
      <c r="P211" s="249"/>
      <c r="Q211" s="254"/>
      <c r="R211" s="209" t="str">
        <f t="shared" si="3"/>
        <v/>
      </c>
      <c r="S211" s="187"/>
    </row>
    <row r="212" spans="1:27" ht="18" customHeight="1">
      <c r="A212" s="230">
        <v>39202</v>
      </c>
      <c r="B212" s="231">
        <v>73044</v>
      </c>
      <c r="C212" s="187" t="s">
        <v>24</v>
      </c>
      <c r="D212" s="230" t="s">
        <v>566</v>
      </c>
      <c r="E212" s="232" t="s">
        <v>567</v>
      </c>
      <c r="F212" s="230"/>
      <c r="G212" s="187"/>
      <c r="H212" s="250">
        <v>46035</v>
      </c>
      <c r="I212" s="207">
        <v>1</v>
      </c>
      <c r="J212" s="187" t="s">
        <v>568</v>
      </c>
      <c r="M212" s="237"/>
      <c r="N212" s="207"/>
      <c r="O212" s="239"/>
      <c r="P212" s="249">
        <v>46052</v>
      </c>
      <c r="Q212" s="254"/>
      <c r="R212" s="209" t="str">
        <f t="shared" si="3"/>
        <v/>
      </c>
      <c r="S212" s="187"/>
    </row>
    <row r="213" spans="1:27" ht="18" customHeight="1">
      <c r="A213" s="230"/>
      <c r="B213" s="231"/>
      <c r="C213" s="187"/>
      <c r="D213" s="230"/>
      <c r="E213" s="232"/>
      <c r="F213" s="230"/>
      <c r="G213" s="187"/>
      <c r="H213" s="250"/>
      <c r="J213" s="187"/>
      <c r="M213" s="237"/>
      <c r="N213" s="207"/>
      <c r="O213" s="239"/>
      <c r="P213" s="249"/>
      <c r="Q213" s="254"/>
      <c r="R213" s="209" t="str">
        <f t="shared" si="3"/>
        <v/>
      </c>
      <c r="S213" s="187"/>
    </row>
    <row r="214" spans="1:27" ht="18" customHeight="1">
      <c r="A214" s="230">
        <v>39209</v>
      </c>
      <c r="B214" s="231">
        <v>73050</v>
      </c>
      <c r="C214" s="187" t="s">
        <v>41</v>
      </c>
      <c r="D214" s="230">
        <v>6</v>
      </c>
      <c r="E214" s="373" t="s">
        <v>569</v>
      </c>
      <c r="F214" s="230">
        <v>3</v>
      </c>
      <c r="G214" s="187" t="s">
        <v>244</v>
      </c>
      <c r="H214" s="250">
        <v>46041</v>
      </c>
      <c r="I214" s="390" t="s">
        <v>549</v>
      </c>
      <c r="J214" s="187" t="s">
        <v>570</v>
      </c>
      <c r="K214" s="235">
        <v>1799</v>
      </c>
      <c r="L214" s="354" t="s">
        <v>580</v>
      </c>
      <c r="M214" s="237">
        <v>45204</v>
      </c>
      <c r="N214" s="207">
        <v>6</v>
      </c>
      <c r="O214" s="239">
        <v>53438</v>
      </c>
      <c r="P214" s="249">
        <v>46115</v>
      </c>
      <c r="Q214" s="254">
        <v>46210</v>
      </c>
      <c r="R214" s="209">
        <f t="shared" si="3"/>
        <v>95</v>
      </c>
      <c r="S214" s="187"/>
    </row>
    <row r="215" spans="1:27" ht="18" customHeight="1">
      <c r="A215" s="230"/>
      <c r="B215" s="231"/>
      <c r="C215" s="187"/>
      <c r="D215" s="230"/>
      <c r="E215" s="232"/>
      <c r="F215" s="230"/>
      <c r="G215" s="187"/>
      <c r="H215" s="250"/>
      <c r="J215" s="187"/>
      <c r="M215" s="237"/>
      <c r="N215" s="207"/>
      <c r="O215" s="239"/>
      <c r="P215" s="249"/>
      <c r="Q215" s="254"/>
      <c r="R215" s="209" t="str">
        <f t="shared" si="3"/>
        <v/>
      </c>
      <c r="S215" s="187"/>
      <c r="AA215" s="230">
        <v>1537</v>
      </c>
    </row>
    <row r="216" spans="1:27" ht="18" customHeight="1">
      <c r="A216" s="230">
        <v>39212</v>
      </c>
      <c r="B216" s="231">
        <v>73057</v>
      </c>
      <c r="C216" s="187" t="s">
        <v>213</v>
      </c>
      <c r="D216" s="230">
        <v>1</v>
      </c>
      <c r="E216" s="232">
        <v>125777129</v>
      </c>
      <c r="F216" s="230" t="s">
        <v>571</v>
      </c>
      <c r="G216" s="187" t="s">
        <v>541</v>
      </c>
      <c r="H216" s="250">
        <v>46041</v>
      </c>
      <c r="I216" s="207">
        <v>1</v>
      </c>
      <c r="J216" s="187" t="s">
        <v>572</v>
      </c>
      <c r="K216" s="235">
        <v>3900</v>
      </c>
      <c r="L216" s="207" t="s">
        <v>573</v>
      </c>
      <c r="M216" s="237"/>
      <c r="N216" s="207">
        <v>1</v>
      </c>
      <c r="O216" s="239"/>
      <c r="P216" s="249">
        <v>46090</v>
      </c>
      <c r="Q216" s="254"/>
      <c r="R216" s="209" t="str">
        <f t="shared" si="3"/>
        <v/>
      </c>
      <c r="S216" s="187"/>
      <c r="AA216" s="230">
        <v>1538</v>
      </c>
    </row>
    <row r="217" spans="1:27" ht="18" customHeight="1">
      <c r="A217" s="230"/>
      <c r="B217" s="231"/>
      <c r="C217" s="187"/>
      <c r="D217" s="230"/>
      <c r="E217" s="232"/>
      <c r="F217" s="230"/>
      <c r="G217" s="187"/>
      <c r="H217" s="250"/>
      <c r="J217" s="187"/>
      <c r="M217" s="237"/>
      <c r="N217" s="207"/>
      <c r="O217" s="239"/>
      <c r="P217" s="249"/>
      <c r="Q217" s="254"/>
      <c r="R217" s="209" t="str">
        <f t="shared" si="3"/>
        <v/>
      </c>
      <c r="S217" s="187"/>
    </row>
    <row r="218" spans="1:27" ht="18" customHeight="1">
      <c r="A218" s="230">
        <v>39214</v>
      </c>
      <c r="B218" s="231">
        <v>73063</v>
      </c>
      <c r="C218" s="187" t="s">
        <v>41</v>
      </c>
      <c r="D218" s="230">
        <v>1</v>
      </c>
      <c r="E218" s="373" t="s">
        <v>575</v>
      </c>
      <c r="F218" s="230">
        <v>0</v>
      </c>
      <c r="G218" s="262" t="s">
        <v>265</v>
      </c>
      <c r="H218" s="250">
        <v>46049</v>
      </c>
      <c r="I218" s="207">
        <v>1</v>
      </c>
      <c r="J218" s="187" t="s">
        <v>576</v>
      </c>
      <c r="K218" s="235">
        <v>29696</v>
      </c>
      <c r="L218" s="386" t="s">
        <v>596</v>
      </c>
      <c r="M218" s="237"/>
      <c r="N218" s="207"/>
      <c r="O218" s="239"/>
      <c r="P218" s="249">
        <v>46129</v>
      </c>
      <c r="Q218" s="254"/>
      <c r="R218" s="209" t="str">
        <f t="shared" si="3"/>
        <v/>
      </c>
      <c r="S218" s="187"/>
    </row>
    <row r="219" spans="1:27" ht="18" customHeight="1">
      <c r="A219" s="230"/>
      <c r="B219" s="231"/>
      <c r="C219" s="187"/>
      <c r="D219" s="230"/>
      <c r="E219" s="232"/>
      <c r="F219" s="230"/>
      <c r="G219" s="187"/>
      <c r="H219" s="250"/>
      <c r="J219" s="187"/>
      <c r="M219" s="237"/>
      <c r="N219" s="207"/>
      <c r="O219" s="239"/>
      <c r="P219" s="249"/>
      <c r="Q219" s="254"/>
      <c r="R219" s="209" t="str">
        <f t="shared" si="3"/>
        <v/>
      </c>
      <c r="S219" s="187"/>
    </row>
    <row r="220" spans="1:27" ht="18" customHeight="1">
      <c r="A220" s="230">
        <v>39218</v>
      </c>
      <c r="B220" s="231">
        <v>73068</v>
      </c>
      <c r="C220" s="187" t="s">
        <v>41</v>
      </c>
      <c r="D220" s="230">
        <v>1</v>
      </c>
      <c r="E220" s="384" t="s">
        <v>577</v>
      </c>
      <c r="F220" s="230"/>
      <c r="G220" s="187" t="s">
        <v>244</v>
      </c>
      <c r="H220" s="250">
        <v>46051</v>
      </c>
      <c r="I220" s="390" t="s">
        <v>549</v>
      </c>
      <c r="J220" s="187" t="s">
        <v>578</v>
      </c>
      <c r="K220" s="235">
        <v>43580</v>
      </c>
      <c r="L220" s="354" t="s">
        <v>616</v>
      </c>
      <c r="M220" s="237"/>
      <c r="N220" s="207"/>
      <c r="O220" s="239"/>
      <c r="P220" s="249">
        <v>46156</v>
      </c>
      <c r="Q220" s="254"/>
      <c r="R220" s="209" t="str">
        <f t="shared" si="3"/>
        <v/>
      </c>
      <c r="S220" s="187"/>
      <c r="AA220" s="230">
        <v>1539</v>
      </c>
    </row>
    <row r="221" spans="1:27" ht="18" customHeight="1">
      <c r="A221" s="230"/>
      <c r="B221" s="231"/>
      <c r="C221" s="187"/>
      <c r="D221" s="230"/>
      <c r="E221" s="232"/>
      <c r="F221" s="230"/>
      <c r="G221" s="187"/>
      <c r="H221" s="250"/>
      <c r="J221" s="187"/>
      <c r="M221" s="237"/>
      <c r="N221" s="207"/>
      <c r="O221" s="239"/>
      <c r="P221" s="249"/>
      <c r="Q221" s="254"/>
      <c r="R221" s="209" t="str">
        <f t="shared" si="3"/>
        <v/>
      </c>
      <c r="S221" s="187"/>
    </row>
    <row r="222" spans="1:27" ht="18" customHeight="1">
      <c r="A222" s="230">
        <v>39241</v>
      </c>
      <c r="B222" s="231">
        <v>73101</v>
      </c>
      <c r="C222" s="187" t="s">
        <v>31</v>
      </c>
      <c r="D222" s="230">
        <v>1</v>
      </c>
      <c r="E222" s="232">
        <v>254693</v>
      </c>
      <c r="F222" s="230">
        <v>1</v>
      </c>
      <c r="G222" s="187" t="s">
        <v>579</v>
      </c>
      <c r="H222" s="250">
        <v>46076</v>
      </c>
      <c r="I222" s="207">
        <v>1</v>
      </c>
      <c r="J222" s="187" t="s">
        <v>591</v>
      </c>
      <c r="K222" s="235">
        <v>1974</v>
      </c>
      <c r="L222" s="207">
        <v>211262325</v>
      </c>
      <c r="M222" s="237"/>
      <c r="N222" s="207"/>
      <c r="O222" s="239"/>
      <c r="P222" s="255">
        <v>46203</v>
      </c>
      <c r="Q222" s="254"/>
      <c r="R222" s="209" t="str">
        <f t="shared" si="3"/>
        <v/>
      </c>
      <c r="S222" s="187"/>
    </row>
    <row r="223" spans="1:27" ht="18" customHeight="1">
      <c r="A223" s="230"/>
      <c r="B223" s="231"/>
      <c r="C223" s="187"/>
      <c r="D223" s="230"/>
      <c r="E223" s="232"/>
      <c r="F223" s="230"/>
      <c r="G223" s="187"/>
      <c r="H223" s="250"/>
      <c r="J223" s="187"/>
      <c r="M223" s="237"/>
      <c r="N223" s="207"/>
      <c r="O223" s="239"/>
      <c r="P223" s="249"/>
      <c r="Q223" s="254"/>
      <c r="R223" s="209" t="str">
        <f t="shared" si="3"/>
        <v/>
      </c>
      <c r="S223" s="187"/>
    </row>
    <row r="224" spans="1:27" ht="18" customHeight="1">
      <c r="A224" s="230">
        <v>39244</v>
      </c>
      <c r="B224" s="231">
        <v>73104</v>
      </c>
      <c r="C224" s="187" t="s">
        <v>62</v>
      </c>
      <c r="D224" s="230">
        <v>2</v>
      </c>
      <c r="E224" s="232" t="s">
        <v>592</v>
      </c>
      <c r="F224" s="230"/>
      <c r="G224" s="187" t="s">
        <v>551</v>
      </c>
      <c r="H224" s="250">
        <v>46076</v>
      </c>
      <c r="I224" s="207">
        <v>1</v>
      </c>
      <c r="J224" s="187" t="s">
        <v>593</v>
      </c>
      <c r="K224" s="235">
        <v>11787</v>
      </c>
      <c r="L224" s="207" t="s">
        <v>594</v>
      </c>
      <c r="M224" s="237"/>
      <c r="N224" s="207"/>
      <c r="O224" s="239"/>
      <c r="P224" s="249">
        <v>46122</v>
      </c>
      <c r="Q224" s="254"/>
      <c r="R224" s="209" t="str">
        <f t="shared" si="3"/>
        <v/>
      </c>
      <c r="S224" s="187"/>
      <c r="AA224" s="230">
        <v>1544</v>
      </c>
    </row>
    <row r="225" spans="1:27" ht="18" customHeight="1">
      <c r="A225" s="230"/>
      <c r="B225" s="231"/>
      <c r="C225" s="187"/>
      <c r="D225" s="230"/>
      <c r="E225" s="232"/>
      <c r="F225" s="230"/>
      <c r="G225" s="187"/>
      <c r="H225" s="250"/>
      <c r="J225" s="187"/>
      <c r="M225" s="237"/>
      <c r="N225" s="207"/>
      <c r="O225" s="239"/>
      <c r="P225" s="249"/>
      <c r="Q225" s="254"/>
      <c r="R225" s="209" t="str">
        <f t="shared" si="3"/>
        <v/>
      </c>
      <c r="S225" s="187"/>
    </row>
    <row r="226" spans="1:27" ht="18" customHeight="1">
      <c r="A226" s="230">
        <v>39250</v>
      </c>
      <c r="B226" s="231">
        <v>73110</v>
      </c>
      <c r="C226" s="187" t="s">
        <v>188</v>
      </c>
      <c r="D226" s="230">
        <v>1</v>
      </c>
      <c r="E226" s="232" t="s">
        <v>598</v>
      </c>
      <c r="F226" s="230"/>
      <c r="G226" s="187" t="s">
        <v>599</v>
      </c>
      <c r="H226" s="250">
        <v>46083</v>
      </c>
      <c r="I226" s="207">
        <v>10</v>
      </c>
      <c r="J226" s="187" t="s">
        <v>600</v>
      </c>
      <c r="K226" s="235">
        <v>1000</v>
      </c>
      <c r="L226" s="207">
        <v>4500735264</v>
      </c>
      <c r="M226" s="237"/>
      <c r="N226" s="207"/>
      <c r="O226" s="239"/>
      <c r="P226" s="249">
        <v>46195</v>
      </c>
      <c r="Q226" s="254"/>
      <c r="R226" s="209" t="str">
        <f t="shared" si="3"/>
        <v/>
      </c>
      <c r="S226" s="187"/>
      <c r="AA226" s="230">
        <v>1545</v>
      </c>
    </row>
    <row r="227" spans="1:27" ht="18" customHeight="1">
      <c r="A227" s="230">
        <v>39250</v>
      </c>
      <c r="B227" s="231">
        <v>73110</v>
      </c>
      <c r="C227" s="187" t="s">
        <v>188</v>
      </c>
      <c r="D227" s="230">
        <v>3</v>
      </c>
      <c r="E227" s="232" t="s">
        <v>604</v>
      </c>
      <c r="F227" s="230"/>
      <c r="G227" s="187" t="s">
        <v>599</v>
      </c>
      <c r="H227" s="250">
        <f>$H$155</f>
        <v>45918</v>
      </c>
      <c r="I227" s="207">
        <v>20</v>
      </c>
      <c r="J227" s="187" t="s">
        <v>601</v>
      </c>
      <c r="K227" s="235">
        <v>4435</v>
      </c>
      <c r="L227" s="207" t="str">
        <f>$L$176</f>
        <v>RT98-87920-PN-R017</v>
      </c>
      <c r="M227" s="237"/>
      <c r="N227" s="207"/>
      <c r="O227" s="239"/>
      <c r="P227" s="249">
        <f>$P$155</f>
        <v>46220</v>
      </c>
      <c r="Q227" s="254"/>
      <c r="R227" s="209" t="str">
        <f t="shared" si="3"/>
        <v/>
      </c>
      <c r="S227" s="187"/>
    </row>
    <row r="228" spans="1:27" ht="18" customHeight="1">
      <c r="A228" s="230">
        <v>39250</v>
      </c>
      <c r="B228" s="231">
        <v>73110</v>
      </c>
      <c r="C228" s="187" t="s">
        <v>188</v>
      </c>
      <c r="D228" s="230">
        <v>3</v>
      </c>
      <c r="E228" s="232" t="s">
        <v>605</v>
      </c>
      <c r="F228" s="230"/>
      <c r="G228" s="187" t="s">
        <v>599</v>
      </c>
      <c r="H228" s="250">
        <f>$H$155</f>
        <v>45918</v>
      </c>
      <c r="I228" s="207">
        <v>30</v>
      </c>
      <c r="J228" s="187" t="s">
        <v>602</v>
      </c>
      <c r="K228" s="235">
        <v>4580</v>
      </c>
      <c r="L228" s="207" t="str">
        <f>$L$176</f>
        <v>RT98-87920-PN-R017</v>
      </c>
      <c r="M228" s="237"/>
      <c r="N228" s="207"/>
      <c r="O228" s="239"/>
      <c r="P228" s="249">
        <f>$P$155</f>
        <v>46220</v>
      </c>
      <c r="Q228" s="254"/>
      <c r="R228" s="209" t="str">
        <f t="shared" si="3"/>
        <v/>
      </c>
      <c r="S228" s="187"/>
      <c r="AA228" s="230">
        <v>1546</v>
      </c>
    </row>
    <row r="229" spans="1:27" ht="18" customHeight="1">
      <c r="A229" s="230">
        <v>39250</v>
      </c>
      <c r="B229" s="231">
        <v>73110</v>
      </c>
      <c r="C229" s="187" t="s">
        <v>188</v>
      </c>
      <c r="D229" s="230">
        <v>3</v>
      </c>
      <c r="E229" s="232" t="s">
        <v>606</v>
      </c>
      <c r="F229" s="230"/>
      <c r="G229" s="187" t="s">
        <v>599</v>
      </c>
      <c r="H229" s="250">
        <f>$H$155</f>
        <v>45918</v>
      </c>
      <c r="I229" s="207">
        <v>40</v>
      </c>
      <c r="J229" s="187" t="s">
        <v>602</v>
      </c>
      <c r="K229" s="235">
        <v>5200</v>
      </c>
      <c r="L229" s="207" t="str">
        <f>$L$176</f>
        <v>RT98-87920-PN-R017</v>
      </c>
      <c r="M229" s="237"/>
      <c r="N229" s="207"/>
      <c r="O229" s="239"/>
      <c r="P229" s="249">
        <f>$P$155</f>
        <v>46220</v>
      </c>
      <c r="Q229" s="254"/>
      <c r="R229" s="209" t="str">
        <f t="shared" si="3"/>
        <v/>
      </c>
      <c r="S229" s="187"/>
    </row>
    <row r="230" spans="1:27" ht="18" customHeight="1">
      <c r="A230" s="230">
        <v>39250</v>
      </c>
      <c r="B230" s="231">
        <v>73110</v>
      </c>
      <c r="C230" s="187" t="s">
        <v>188</v>
      </c>
      <c r="D230" s="230">
        <v>3</v>
      </c>
      <c r="E230" s="232" t="s">
        <v>607</v>
      </c>
      <c r="F230" s="230"/>
      <c r="G230" s="187" t="s">
        <v>599</v>
      </c>
      <c r="H230" s="250">
        <f>$H$155</f>
        <v>45918</v>
      </c>
      <c r="I230" s="207">
        <v>50</v>
      </c>
      <c r="J230" s="187" t="s">
        <v>603</v>
      </c>
      <c r="K230" s="235">
        <v>5966</v>
      </c>
      <c r="L230" s="207" t="str">
        <f>$L$176</f>
        <v>RT98-87920-PN-R017</v>
      </c>
      <c r="M230" s="237"/>
      <c r="N230" s="207"/>
      <c r="O230" s="239"/>
      <c r="P230" s="249">
        <f>$P$155</f>
        <v>46220</v>
      </c>
      <c r="Q230" s="254"/>
      <c r="R230" s="209" t="str">
        <f t="shared" si="3"/>
        <v/>
      </c>
      <c r="S230" s="187"/>
    </row>
    <row r="231" spans="1:27" ht="18" customHeight="1">
      <c r="A231" s="230"/>
      <c r="B231" s="231"/>
      <c r="C231" s="187"/>
      <c r="D231" s="230"/>
      <c r="E231" s="232"/>
      <c r="F231" s="230"/>
      <c r="G231" s="187"/>
      <c r="H231" s="250"/>
      <c r="J231" s="187"/>
      <c r="M231" s="237"/>
      <c r="N231" s="207"/>
      <c r="O231" s="239"/>
      <c r="P231" s="249"/>
      <c r="Q231" s="254"/>
      <c r="R231" s="209" t="str">
        <f t="shared" si="3"/>
        <v/>
      </c>
      <c r="S231" s="187"/>
    </row>
    <row r="232" spans="1:27" ht="18" customHeight="1">
      <c r="A232" s="230">
        <v>39255</v>
      </c>
      <c r="B232" s="231">
        <v>73115</v>
      </c>
      <c r="C232" s="187" t="s">
        <v>33</v>
      </c>
      <c r="D232" s="230">
        <v>2</v>
      </c>
      <c r="E232" s="232" t="s">
        <v>608</v>
      </c>
      <c r="F232" s="230"/>
      <c r="G232" s="187" t="s">
        <v>242</v>
      </c>
      <c r="H232" s="250">
        <v>46085</v>
      </c>
      <c r="I232" s="207">
        <v>1</v>
      </c>
      <c r="J232" s="187" t="s">
        <v>609</v>
      </c>
      <c r="K232" s="235">
        <v>6720</v>
      </c>
      <c r="L232" s="207" t="s">
        <v>610</v>
      </c>
      <c r="M232" s="237"/>
      <c r="N232" s="207"/>
      <c r="O232" s="239"/>
      <c r="P232" s="249">
        <v>46127</v>
      </c>
      <c r="Q232" s="254"/>
      <c r="R232" s="209" t="str">
        <f t="shared" si="3"/>
        <v/>
      </c>
      <c r="S232" s="187"/>
      <c r="AA232" s="230">
        <v>1550</v>
      </c>
    </row>
    <row r="233" spans="1:27" ht="18" customHeight="1">
      <c r="A233" s="230"/>
      <c r="B233" s="231"/>
      <c r="C233" s="187"/>
      <c r="D233" s="230"/>
      <c r="E233" s="232"/>
      <c r="F233" s="230"/>
      <c r="G233" s="187"/>
      <c r="H233" s="250"/>
      <c r="J233" s="187"/>
      <c r="M233" s="237"/>
      <c r="N233" s="207"/>
      <c r="O233" s="239"/>
      <c r="P233" s="249"/>
      <c r="Q233" s="254"/>
      <c r="R233" s="209" t="str">
        <f t="shared" si="3"/>
        <v/>
      </c>
      <c r="S233" s="187"/>
      <c r="AA233" s="230">
        <v>1551</v>
      </c>
    </row>
    <row r="234" spans="1:27" ht="18" customHeight="1">
      <c r="A234" s="230">
        <v>39264</v>
      </c>
      <c r="B234" s="231">
        <v>73127</v>
      </c>
      <c r="C234" s="187" t="s">
        <v>41</v>
      </c>
      <c r="D234" s="230">
        <v>1</v>
      </c>
      <c r="E234" s="373" t="s">
        <v>252</v>
      </c>
      <c r="F234" s="230">
        <v>3</v>
      </c>
      <c r="G234" s="187" t="s">
        <v>244</v>
      </c>
      <c r="H234" s="250">
        <v>46100</v>
      </c>
      <c r="I234" s="390" t="s">
        <v>611</v>
      </c>
      <c r="J234" s="187" t="s">
        <v>612</v>
      </c>
      <c r="K234" s="235">
        <v>34791</v>
      </c>
      <c r="L234" s="316" t="s">
        <v>754</v>
      </c>
      <c r="M234" s="237"/>
      <c r="N234" s="207"/>
      <c r="O234" s="239"/>
      <c r="P234" s="249">
        <v>46178</v>
      </c>
      <c r="Q234" s="254"/>
      <c r="R234" s="209" t="str">
        <f t="shared" si="3"/>
        <v/>
      </c>
      <c r="S234" s="187"/>
    </row>
    <row r="235" spans="1:27" ht="18" customHeight="1">
      <c r="A235" s="230">
        <v>39264</v>
      </c>
      <c r="B235" s="231">
        <v>73128</v>
      </c>
      <c r="C235" s="187" t="s">
        <v>41</v>
      </c>
      <c r="D235" s="230">
        <v>3</v>
      </c>
      <c r="E235" s="232" t="s">
        <v>613</v>
      </c>
      <c r="F235" s="230"/>
      <c r="G235" s="187" t="s">
        <v>244</v>
      </c>
      <c r="H235" s="250">
        <v>46100</v>
      </c>
      <c r="I235" s="390" t="s">
        <v>543</v>
      </c>
      <c r="J235" s="187" t="s">
        <v>614</v>
      </c>
      <c r="K235" s="235">
        <v>249.5</v>
      </c>
      <c r="L235" s="316" t="s">
        <v>755</v>
      </c>
      <c r="M235" s="237"/>
      <c r="N235" s="207"/>
      <c r="O235" s="239"/>
      <c r="P235" s="249">
        <v>46178</v>
      </c>
      <c r="Q235" s="254"/>
      <c r="R235" s="209" t="str">
        <f t="shared" si="3"/>
        <v/>
      </c>
      <c r="S235" s="187"/>
    </row>
    <row r="236" spans="1:27" ht="18" customHeight="1">
      <c r="A236" s="230"/>
      <c r="B236" s="231"/>
      <c r="C236" s="187"/>
      <c r="D236" s="230"/>
      <c r="E236" s="232"/>
      <c r="F236" s="230"/>
      <c r="G236" s="187"/>
      <c r="H236" s="250"/>
      <c r="J236" s="187"/>
      <c r="M236" s="237"/>
      <c r="N236" s="207"/>
      <c r="O236" s="239"/>
      <c r="P236" s="249"/>
      <c r="Q236" s="254"/>
      <c r="R236" s="209" t="str">
        <f t="shared" si="3"/>
        <v/>
      </c>
      <c r="S236" s="187"/>
      <c r="AA236" s="230">
        <v>1552</v>
      </c>
    </row>
    <row r="237" spans="1:27" ht="18" customHeight="1">
      <c r="A237" s="230">
        <v>39272</v>
      </c>
      <c r="B237" s="231">
        <v>73145</v>
      </c>
      <c r="C237" s="187" t="s">
        <v>41</v>
      </c>
      <c r="D237" s="230">
        <v>1</v>
      </c>
      <c r="E237" s="232" t="s">
        <v>638</v>
      </c>
      <c r="F237" s="230"/>
      <c r="G237" s="266" t="s">
        <v>319</v>
      </c>
      <c r="H237" s="250">
        <v>46105</v>
      </c>
      <c r="I237" s="207">
        <v>4</v>
      </c>
      <c r="J237" s="187" t="s">
        <v>617</v>
      </c>
      <c r="K237" s="235">
        <v>90828</v>
      </c>
      <c r="L237" s="316" t="s">
        <v>867</v>
      </c>
      <c r="M237" s="237"/>
      <c r="N237" s="207"/>
      <c r="O237" s="239"/>
      <c r="P237" s="249">
        <v>46225</v>
      </c>
      <c r="Q237" s="254"/>
      <c r="R237" s="209" t="str">
        <f t="shared" si="3"/>
        <v/>
      </c>
      <c r="S237" s="187"/>
      <c r="AA237" s="230">
        <v>1553</v>
      </c>
    </row>
    <row r="238" spans="1:27" ht="18" customHeight="1">
      <c r="A238" s="230"/>
      <c r="B238" s="231"/>
      <c r="C238" s="187"/>
      <c r="D238" s="230"/>
      <c r="E238" s="232"/>
      <c r="F238" s="230"/>
      <c r="G238" s="187"/>
      <c r="H238" s="250"/>
      <c r="J238" s="187"/>
      <c r="M238" s="237"/>
      <c r="N238" s="207"/>
      <c r="O238" s="239"/>
      <c r="P238" s="249"/>
      <c r="Q238" s="254"/>
      <c r="R238" s="209" t="str">
        <f t="shared" si="3"/>
        <v/>
      </c>
      <c r="S238" s="187"/>
      <c r="AA238" s="230">
        <v>1554</v>
      </c>
    </row>
    <row r="239" spans="1:27" ht="18" customHeight="1">
      <c r="A239" s="230">
        <v>39273</v>
      </c>
      <c r="B239" s="231">
        <v>73146</v>
      </c>
      <c r="C239" s="187" t="s">
        <v>41</v>
      </c>
      <c r="D239" s="230">
        <v>2</v>
      </c>
      <c r="E239" s="232" t="s">
        <v>250</v>
      </c>
      <c r="F239" s="230">
        <v>6</v>
      </c>
      <c r="G239" s="187" t="s">
        <v>244</v>
      </c>
      <c r="H239" s="250">
        <v>46111</v>
      </c>
      <c r="I239" s="390" t="s">
        <v>534</v>
      </c>
      <c r="J239" s="187" t="s">
        <v>251</v>
      </c>
      <c r="K239" s="235">
        <v>35742</v>
      </c>
      <c r="L239" s="316" t="s">
        <v>623</v>
      </c>
      <c r="M239" s="237"/>
      <c r="N239" s="207"/>
      <c r="O239" s="239"/>
      <c r="P239" s="249">
        <v>46234</v>
      </c>
      <c r="Q239" s="254"/>
      <c r="R239" s="209" t="str">
        <f t="shared" si="3"/>
        <v/>
      </c>
      <c r="S239" s="187"/>
    </row>
    <row r="240" spans="1:27" ht="18" customHeight="1">
      <c r="A240" s="230">
        <v>39273</v>
      </c>
      <c r="B240" s="231">
        <v>73147</v>
      </c>
      <c r="C240" s="187" t="s">
        <v>41</v>
      </c>
      <c r="D240" s="230">
        <v>6</v>
      </c>
      <c r="E240" s="232" t="s">
        <v>613</v>
      </c>
      <c r="F240" s="230"/>
      <c r="G240" s="187" t="s">
        <v>244</v>
      </c>
      <c r="H240" s="250">
        <v>46111</v>
      </c>
      <c r="I240" s="390" t="s">
        <v>618</v>
      </c>
      <c r="J240" s="187" t="s">
        <v>614</v>
      </c>
      <c r="K240" s="235">
        <v>246</v>
      </c>
      <c r="L240" s="316" t="s">
        <v>624</v>
      </c>
      <c r="M240" s="237"/>
      <c r="N240" s="207"/>
      <c r="O240" s="239"/>
      <c r="P240" s="249">
        <v>46234</v>
      </c>
      <c r="Q240" s="254"/>
      <c r="R240" s="209" t="str">
        <f t="shared" si="3"/>
        <v/>
      </c>
      <c r="S240" s="187"/>
      <c r="AA240" s="230">
        <v>1555</v>
      </c>
    </row>
    <row r="241" spans="1:27" ht="18" customHeight="1">
      <c r="A241" s="230"/>
      <c r="B241" s="231"/>
      <c r="C241" s="187"/>
      <c r="D241" s="230"/>
      <c r="E241" s="232"/>
      <c r="F241" s="230"/>
      <c r="G241" s="187"/>
      <c r="H241" s="250"/>
      <c r="J241" s="187"/>
      <c r="M241" s="237"/>
      <c r="N241" s="207"/>
      <c r="O241" s="239"/>
      <c r="P241" s="249"/>
      <c r="Q241" s="254"/>
      <c r="R241" s="209" t="str">
        <f t="shared" si="3"/>
        <v/>
      </c>
      <c r="S241" s="187"/>
      <c r="AA241" s="230">
        <v>1556</v>
      </c>
    </row>
    <row r="242" spans="1:27" ht="18" customHeight="1">
      <c r="A242" s="230">
        <v>39274</v>
      </c>
      <c r="B242" s="231">
        <v>73148</v>
      </c>
      <c r="C242" s="187" t="s">
        <v>41</v>
      </c>
      <c r="D242" s="230">
        <v>1</v>
      </c>
      <c r="E242" s="232" t="s">
        <v>619</v>
      </c>
      <c r="F242" s="230">
        <v>7</v>
      </c>
      <c r="G242" s="266" t="s">
        <v>620</v>
      </c>
      <c r="H242" s="250">
        <v>46111</v>
      </c>
      <c r="I242" s="207">
        <v>1</v>
      </c>
      <c r="J242" s="187" t="s">
        <v>621</v>
      </c>
      <c r="K242" s="235">
        <v>38482</v>
      </c>
      <c r="L242" s="207" t="s">
        <v>622</v>
      </c>
      <c r="M242" s="237"/>
      <c r="N242" s="207"/>
      <c r="O242" s="239"/>
      <c r="P242" s="249">
        <v>46205</v>
      </c>
      <c r="Q242" s="254"/>
      <c r="R242" s="209" t="str">
        <f t="shared" si="3"/>
        <v/>
      </c>
      <c r="S242" s="187"/>
    </row>
    <row r="243" spans="1:27" ht="18" customHeight="1">
      <c r="A243" s="230"/>
      <c r="B243" s="231"/>
      <c r="C243" s="187"/>
      <c r="D243" s="230"/>
      <c r="E243" s="232"/>
      <c r="F243" s="230"/>
      <c r="G243" s="187"/>
      <c r="H243" s="250"/>
      <c r="J243" s="187"/>
      <c r="M243" s="237"/>
      <c r="N243" s="207"/>
      <c r="O243" s="239"/>
      <c r="P243" s="249"/>
      <c r="Q243" s="254"/>
      <c r="R243" s="209" t="str">
        <f t="shared" si="3"/>
        <v/>
      </c>
      <c r="S243" s="187"/>
    </row>
    <row r="244" spans="1:27" ht="18" customHeight="1">
      <c r="A244" s="230">
        <v>39279</v>
      </c>
      <c r="B244" s="231">
        <v>73153</v>
      </c>
      <c r="C244" s="187" t="s">
        <v>41</v>
      </c>
      <c r="D244" s="230">
        <v>2</v>
      </c>
      <c r="E244" s="232" t="s">
        <v>625</v>
      </c>
      <c r="F244" s="230">
        <v>1</v>
      </c>
      <c r="G244" s="187" t="s">
        <v>244</v>
      </c>
      <c r="H244" s="250">
        <v>46111</v>
      </c>
      <c r="I244" s="207">
        <v>1</v>
      </c>
      <c r="J244" s="187" t="s">
        <v>626</v>
      </c>
      <c r="K244" s="235">
        <v>1460</v>
      </c>
      <c r="L244" s="207" t="s">
        <v>736</v>
      </c>
      <c r="M244" s="237"/>
      <c r="N244" s="207"/>
      <c r="O244" s="239"/>
      <c r="P244" s="249">
        <v>46118</v>
      </c>
      <c r="Q244" s="254"/>
      <c r="R244" s="209" t="str">
        <f t="shared" si="3"/>
        <v/>
      </c>
      <c r="S244" s="187"/>
    </row>
    <row r="245" spans="1:27" ht="18" customHeight="1">
      <c r="A245" s="230"/>
      <c r="B245" s="231"/>
      <c r="C245" s="187"/>
      <c r="D245" s="230"/>
      <c r="E245" s="232"/>
      <c r="F245" s="230"/>
      <c r="G245" s="187"/>
      <c r="H245" s="250"/>
      <c r="J245" s="187"/>
      <c r="M245" s="237"/>
      <c r="N245" s="207"/>
      <c r="O245" s="239"/>
      <c r="P245" s="249"/>
      <c r="Q245" s="254"/>
      <c r="R245" s="209" t="str">
        <f t="shared" si="3"/>
        <v/>
      </c>
      <c r="S245" s="187"/>
    </row>
    <row r="246" spans="1:27" ht="18" customHeight="1">
      <c r="A246" s="230">
        <v>39281</v>
      </c>
      <c r="B246" s="231">
        <v>73155</v>
      </c>
      <c r="C246" s="187" t="s">
        <v>627</v>
      </c>
      <c r="D246" s="230" t="s">
        <v>628</v>
      </c>
      <c r="E246" s="232" t="s">
        <v>629</v>
      </c>
      <c r="F246" s="230"/>
      <c r="G246" s="187" t="s">
        <v>630</v>
      </c>
      <c r="H246" s="250">
        <v>46112</v>
      </c>
      <c r="J246" s="187" t="s">
        <v>631</v>
      </c>
      <c r="M246" s="237"/>
      <c r="N246" s="207"/>
      <c r="O246" s="239"/>
      <c r="P246" s="249">
        <v>46115</v>
      </c>
      <c r="Q246" s="254"/>
      <c r="R246" s="209" t="str">
        <f t="shared" si="3"/>
        <v/>
      </c>
      <c r="S246" s="187"/>
    </row>
    <row r="247" spans="1:27" ht="18" customHeight="1">
      <c r="A247" s="230"/>
      <c r="B247" s="231"/>
      <c r="C247" s="187"/>
      <c r="D247" s="230"/>
      <c r="E247" s="232"/>
      <c r="F247" s="230"/>
      <c r="G247" s="187"/>
      <c r="H247" s="250"/>
      <c r="J247" s="187"/>
      <c r="M247" s="237"/>
      <c r="N247" s="207"/>
      <c r="O247" s="239"/>
      <c r="P247" s="249"/>
      <c r="Q247" s="254"/>
      <c r="R247" s="209" t="str">
        <f t="shared" si="3"/>
        <v/>
      </c>
      <c r="S247" s="187"/>
      <c r="AA247" s="230">
        <v>1562</v>
      </c>
    </row>
    <row r="248" spans="1:27" ht="18" customHeight="1">
      <c r="A248" s="230">
        <v>39284</v>
      </c>
      <c r="B248" s="231">
        <v>73158</v>
      </c>
      <c r="C248" s="187" t="s">
        <v>23</v>
      </c>
      <c r="D248" s="230">
        <v>1</v>
      </c>
      <c r="E248" s="232" t="s">
        <v>632</v>
      </c>
      <c r="F248" s="230"/>
      <c r="G248" s="187" t="s">
        <v>615</v>
      </c>
      <c r="H248" s="250">
        <v>46118</v>
      </c>
      <c r="I248" s="207">
        <v>1</v>
      </c>
      <c r="J248" s="266" t="s">
        <v>634</v>
      </c>
      <c r="K248" s="235">
        <v>1585</v>
      </c>
      <c r="L248" s="207">
        <v>19741</v>
      </c>
      <c r="M248" s="237">
        <v>45122</v>
      </c>
      <c r="N248" s="207">
        <v>1</v>
      </c>
      <c r="O248" s="239">
        <v>53343</v>
      </c>
      <c r="P248" s="249">
        <v>46136</v>
      </c>
      <c r="Q248" s="254"/>
      <c r="R248" s="209" t="str">
        <f t="shared" si="3"/>
        <v/>
      </c>
      <c r="S248" s="187"/>
    </row>
    <row r="249" spans="1:27" ht="18" customHeight="1">
      <c r="A249" s="230">
        <v>39284</v>
      </c>
      <c r="B249" s="231">
        <v>73159</v>
      </c>
      <c r="C249" s="187" t="s">
        <v>23</v>
      </c>
      <c r="D249" s="230">
        <v>1</v>
      </c>
      <c r="E249" s="232" t="s">
        <v>632</v>
      </c>
      <c r="F249" s="230"/>
      <c r="G249" s="187" t="s">
        <v>615</v>
      </c>
      <c r="H249" s="250">
        <f>$H$205</f>
        <v>0</v>
      </c>
      <c r="I249" s="207">
        <v>2</v>
      </c>
      <c r="J249" s="266" t="s">
        <v>635</v>
      </c>
      <c r="K249" s="235">
        <v>1585</v>
      </c>
      <c r="L249" s="207">
        <v>19741</v>
      </c>
      <c r="M249" s="237">
        <v>45122</v>
      </c>
      <c r="N249" s="207">
        <v>1</v>
      </c>
      <c r="O249" s="239">
        <v>53343</v>
      </c>
      <c r="P249" s="249">
        <f>$P$205</f>
        <v>0</v>
      </c>
      <c r="Q249" s="254"/>
      <c r="R249" s="209" t="str">
        <f t="shared" si="3"/>
        <v/>
      </c>
      <c r="S249" s="187"/>
      <c r="AA249" s="230">
        <v>1563</v>
      </c>
    </row>
    <row r="250" spans="1:27" ht="18" customHeight="1">
      <c r="A250" s="230">
        <v>39284</v>
      </c>
      <c r="B250" s="231">
        <v>73160</v>
      </c>
      <c r="C250" s="187" t="s">
        <v>23</v>
      </c>
      <c r="D250" s="230">
        <v>1</v>
      </c>
      <c r="E250" s="232" t="s">
        <v>632</v>
      </c>
      <c r="F250" s="230"/>
      <c r="G250" s="187" t="s">
        <v>615</v>
      </c>
      <c r="H250" s="250">
        <f>$H$205</f>
        <v>0</v>
      </c>
      <c r="I250" s="207">
        <v>3</v>
      </c>
      <c r="J250" s="266" t="s">
        <v>636</v>
      </c>
      <c r="K250" s="235">
        <v>1585</v>
      </c>
      <c r="L250" s="207">
        <v>19741</v>
      </c>
      <c r="M250" s="237">
        <v>45122</v>
      </c>
      <c r="N250" s="207">
        <v>1</v>
      </c>
      <c r="O250" s="239">
        <v>53343</v>
      </c>
      <c r="P250" s="249">
        <f>$P$205</f>
        <v>0</v>
      </c>
      <c r="Q250" s="254"/>
      <c r="R250" s="209" t="str">
        <f t="shared" si="3"/>
        <v/>
      </c>
      <c r="S250" s="187"/>
    </row>
    <row r="251" spans="1:27" ht="18" customHeight="1">
      <c r="A251" s="230">
        <v>39284</v>
      </c>
      <c r="B251" s="231">
        <v>73161</v>
      </c>
      <c r="C251" s="187" t="s">
        <v>23</v>
      </c>
      <c r="D251" s="230">
        <v>1</v>
      </c>
      <c r="E251" s="232" t="s">
        <v>633</v>
      </c>
      <c r="F251" s="230"/>
      <c r="G251" s="187" t="s">
        <v>615</v>
      </c>
      <c r="H251" s="250">
        <v>46118</v>
      </c>
      <c r="I251" s="207">
        <v>4</v>
      </c>
      <c r="J251" s="187" t="s">
        <v>637</v>
      </c>
      <c r="K251" s="235">
        <v>940</v>
      </c>
      <c r="L251" s="207">
        <v>19741</v>
      </c>
      <c r="M251" s="237">
        <v>45123</v>
      </c>
      <c r="N251" s="207">
        <v>1</v>
      </c>
      <c r="O251" s="239">
        <v>53343</v>
      </c>
      <c r="P251" s="249">
        <f>$P$205</f>
        <v>0</v>
      </c>
      <c r="Q251" s="254"/>
      <c r="R251" s="209" t="str">
        <f t="shared" si="3"/>
        <v/>
      </c>
      <c r="S251" s="187"/>
    </row>
    <row r="252" spans="1:27" ht="18" customHeight="1">
      <c r="A252" s="230"/>
      <c r="B252" s="231"/>
      <c r="C252" s="187"/>
      <c r="D252" s="230"/>
      <c r="E252" s="232"/>
      <c r="F252" s="230"/>
      <c r="G252" s="187"/>
      <c r="H252" s="250"/>
      <c r="J252" s="187"/>
      <c r="M252" s="237"/>
      <c r="N252" s="207"/>
      <c r="O252" s="239"/>
      <c r="P252" s="249"/>
      <c r="Q252" s="254"/>
      <c r="R252" s="209" t="str">
        <f t="shared" si="3"/>
        <v/>
      </c>
      <c r="S252" s="187"/>
    </row>
    <row r="253" spans="1:27" ht="18" customHeight="1">
      <c r="A253" s="230">
        <v>39288</v>
      </c>
      <c r="B253" s="231">
        <v>73165</v>
      </c>
      <c r="C253" s="187" t="s">
        <v>41</v>
      </c>
      <c r="D253" s="230">
        <v>10</v>
      </c>
      <c r="E253" s="373" t="s">
        <v>544</v>
      </c>
      <c r="F253" s="230">
        <v>0</v>
      </c>
      <c r="G253" s="187" t="s">
        <v>547</v>
      </c>
      <c r="H253" s="250">
        <v>46122</v>
      </c>
      <c r="I253" s="390" t="s">
        <v>534</v>
      </c>
      <c r="J253" s="187" t="s">
        <v>639</v>
      </c>
      <c r="K253" s="235">
        <v>766.75</v>
      </c>
      <c r="L253" s="316" t="s">
        <v>756</v>
      </c>
      <c r="M253" s="237">
        <v>45184</v>
      </c>
      <c r="N253" s="207">
        <v>10</v>
      </c>
      <c r="O253" s="239">
        <v>53434</v>
      </c>
      <c r="P253" s="249">
        <v>46181</v>
      </c>
      <c r="Q253" s="254">
        <v>46195</v>
      </c>
      <c r="R253" s="209">
        <f t="shared" si="3"/>
        <v>14</v>
      </c>
      <c r="S253" s="187"/>
    </row>
    <row r="254" spans="1:27" ht="18" customHeight="1">
      <c r="A254" s="230"/>
      <c r="B254" s="231"/>
      <c r="C254" s="187"/>
      <c r="D254" s="230"/>
      <c r="E254" s="232"/>
      <c r="F254" s="230"/>
      <c r="G254" s="187"/>
      <c r="H254" s="250"/>
      <c r="J254" s="187"/>
      <c r="M254" s="237"/>
      <c r="N254" s="207"/>
      <c r="O254" s="239"/>
      <c r="P254" s="249"/>
      <c r="Q254" s="254"/>
      <c r="R254" s="209" t="str">
        <f t="shared" si="3"/>
        <v/>
      </c>
      <c r="S254" s="187"/>
      <c r="AA254" s="230">
        <v>1565</v>
      </c>
    </row>
    <row r="255" spans="1:27" ht="18" customHeight="1">
      <c r="A255" s="230">
        <v>39290</v>
      </c>
      <c r="B255" s="231">
        <v>73167</v>
      </c>
      <c r="C255" s="187" t="s">
        <v>41</v>
      </c>
      <c r="D255" s="230">
        <v>10</v>
      </c>
      <c r="E255" s="373" t="s">
        <v>640</v>
      </c>
      <c r="F255" s="230">
        <v>1</v>
      </c>
      <c r="G255" s="187" t="s">
        <v>244</v>
      </c>
      <c r="H255" s="250">
        <v>46125</v>
      </c>
      <c r="I255" s="390" t="s">
        <v>534</v>
      </c>
      <c r="J255" s="187" t="s">
        <v>641</v>
      </c>
      <c r="K255" s="235">
        <v>1987</v>
      </c>
      <c r="L255" s="227" t="s">
        <v>645</v>
      </c>
      <c r="M255" s="237"/>
      <c r="N255" s="207"/>
      <c r="O255" s="239"/>
      <c r="P255" s="249">
        <v>46188</v>
      </c>
      <c r="Q255" s="254"/>
      <c r="R255" s="209" t="str">
        <f t="shared" si="3"/>
        <v/>
      </c>
      <c r="S255" s="187"/>
    </row>
    <row r="256" spans="1:27" ht="18" customHeight="1">
      <c r="A256" s="230">
        <v>39290</v>
      </c>
      <c r="B256" s="231">
        <v>73168</v>
      </c>
      <c r="C256" s="187" t="s">
        <v>41</v>
      </c>
      <c r="D256" s="230">
        <v>2</v>
      </c>
      <c r="E256" s="232" t="s">
        <v>642</v>
      </c>
      <c r="F256" s="230">
        <v>1</v>
      </c>
      <c r="G256" s="187" t="s">
        <v>244</v>
      </c>
      <c r="H256" s="250">
        <v>46125</v>
      </c>
      <c r="I256" s="390" t="s">
        <v>644</v>
      </c>
      <c r="J256" s="187" t="s">
        <v>643</v>
      </c>
      <c r="K256" s="235">
        <v>2259</v>
      </c>
      <c r="L256" s="227" t="s">
        <v>646</v>
      </c>
      <c r="M256" s="237"/>
      <c r="N256" s="207"/>
      <c r="O256" s="239"/>
      <c r="P256" s="249">
        <v>46188</v>
      </c>
      <c r="Q256" s="254"/>
      <c r="R256" s="209" t="str">
        <f t="shared" si="3"/>
        <v/>
      </c>
      <c r="S256" s="187"/>
    </row>
    <row r="257" spans="1:27" ht="18" customHeight="1">
      <c r="A257" s="230"/>
      <c r="B257" s="231"/>
      <c r="C257" s="187"/>
      <c r="D257" s="230"/>
      <c r="E257" s="232"/>
      <c r="F257" s="230"/>
      <c r="G257" s="187"/>
      <c r="H257" s="250"/>
      <c r="J257" s="187"/>
      <c r="M257" s="237"/>
      <c r="N257" s="207"/>
      <c r="O257" s="239"/>
      <c r="P257" s="249"/>
      <c r="Q257" s="254"/>
      <c r="R257" s="209" t="str">
        <f t="shared" si="3"/>
        <v/>
      </c>
      <c r="S257" s="187"/>
    </row>
    <row r="258" spans="1:27" ht="18" customHeight="1">
      <c r="A258" s="230">
        <v>39291</v>
      </c>
      <c r="B258" s="231">
        <v>73169</v>
      </c>
      <c r="C258" s="187" t="s">
        <v>41</v>
      </c>
      <c r="D258" s="230">
        <f t="shared" ref="D258:J259" si="4">D255</f>
        <v>10</v>
      </c>
      <c r="E258" s="232" t="str">
        <f t="shared" si="4"/>
        <v>RT-87000-72000-1006-1-DD-E</v>
      </c>
      <c r="F258" s="230">
        <f t="shared" si="4"/>
        <v>1</v>
      </c>
      <c r="G258" s="187" t="str">
        <f t="shared" si="4"/>
        <v>Laila Parveen</v>
      </c>
      <c r="H258" s="250">
        <f t="shared" si="4"/>
        <v>46125</v>
      </c>
      <c r="I258" s="390" t="str">
        <f t="shared" si="4"/>
        <v>01A</v>
      </c>
      <c r="J258" s="187" t="str">
        <f t="shared" si="4"/>
        <v>Mock-UP Ferule- C1</v>
      </c>
      <c r="K258" s="235">
        <v>1987</v>
      </c>
      <c r="L258" s="391" t="s">
        <v>647</v>
      </c>
      <c r="M258" s="237"/>
      <c r="N258" s="207"/>
      <c r="O258" s="239"/>
      <c r="P258" s="249">
        <v>46188</v>
      </c>
      <c r="Q258" s="254"/>
      <c r="R258" s="209" t="str">
        <f t="shared" si="3"/>
        <v/>
      </c>
      <c r="S258" s="187"/>
    </row>
    <row r="259" spans="1:27" ht="18" customHeight="1">
      <c r="A259" s="230">
        <v>39291</v>
      </c>
      <c r="B259" s="231">
        <v>73170</v>
      </c>
      <c r="C259" s="187" t="s">
        <v>41</v>
      </c>
      <c r="D259" s="230">
        <f t="shared" si="4"/>
        <v>2</v>
      </c>
      <c r="E259" s="232" t="str">
        <f t="shared" si="4"/>
        <v>RT-87000-72000-1002-1-DD-E</v>
      </c>
      <c r="F259" s="230">
        <f t="shared" si="4"/>
        <v>1</v>
      </c>
      <c r="G259" s="187" t="str">
        <f t="shared" si="4"/>
        <v>Laila Parveen</v>
      </c>
      <c r="H259" s="250">
        <f t="shared" si="4"/>
        <v>46125</v>
      </c>
      <c r="I259" s="390" t="str">
        <f t="shared" si="4"/>
        <v>02A</v>
      </c>
      <c r="J259" s="187" t="str">
        <f t="shared" si="4"/>
        <v>Mock-up Ferule- S1</v>
      </c>
      <c r="K259" s="235">
        <v>2259</v>
      </c>
      <c r="L259" s="391" t="s">
        <v>648</v>
      </c>
      <c r="M259" s="237"/>
      <c r="N259" s="207"/>
      <c r="O259" s="239"/>
      <c r="P259" s="249">
        <v>46188</v>
      </c>
      <c r="Q259" s="254"/>
      <c r="R259" s="209" t="str">
        <f t="shared" si="3"/>
        <v/>
      </c>
      <c r="S259" s="187"/>
    </row>
    <row r="260" spans="1:27" ht="18" customHeight="1">
      <c r="A260" s="230"/>
      <c r="B260" s="231"/>
      <c r="C260" s="187"/>
      <c r="D260" s="230"/>
      <c r="E260" s="232"/>
      <c r="F260" s="230"/>
      <c r="G260" s="187"/>
      <c r="H260" s="250"/>
      <c r="J260" s="187"/>
      <c r="M260" s="237"/>
      <c r="N260" s="207"/>
      <c r="O260" s="239"/>
      <c r="P260" s="249"/>
      <c r="Q260" s="254"/>
      <c r="R260" s="209" t="str">
        <f t="shared" ref="R260:R323" si="5">IF(SUM(Q260)&gt;0,SUM(Q260-P260),"")</f>
        <v/>
      </c>
      <c r="S260" s="187"/>
    </row>
    <row r="261" spans="1:27" ht="18" customHeight="1">
      <c r="A261" s="230">
        <v>39298</v>
      </c>
      <c r="B261" s="231">
        <v>73180</v>
      </c>
      <c r="C261" s="187" t="s">
        <v>215</v>
      </c>
      <c r="D261" s="230">
        <v>3</v>
      </c>
      <c r="E261" s="232" t="s">
        <v>653</v>
      </c>
      <c r="F261" s="230"/>
      <c r="G261" s="187" t="s">
        <v>649</v>
      </c>
      <c r="H261" s="250">
        <v>46133</v>
      </c>
      <c r="I261" s="207">
        <v>1</v>
      </c>
      <c r="J261" s="400" t="s">
        <v>862</v>
      </c>
      <c r="K261" s="235" t="s">
        <v>895</v>
      </c>
      <c r="L261" s="207" t="s">
        <v>565</v>
      </c>
      <c r="M261" s="237">
        <v>45198</v>
      </c>
      <c r="N261" s="207">
        <v>3</v>
      </c>
      <c r="O261" s="239"/>
      <c r="P261" s="249">
        <v>46157</v>
      </c>
      <c r="Q261" s="254">
        <v>46209</v>
      </c>
      <c r="R261" s="209">
        <f t="shared" si="5"/>
        <v>52</v>
      </c>
      <c r="S261" s="187"/>
    </row>
    <row r="262" spans="1:27" ht="18" customHeight="1">
      <c r="A262" s="230">
        <v>39298</v>
      </c>
      <c r="B262" s="231">
        <v>73181</v>
      </c>
      <c r="C262" s="187" t="s">
        <v>215</v>
      </c>
      <c r="D262" s="230">
        <v>1</v>
      </c>
      <c r="E262" s="232" t="s">
        <v>654</v>
      </c>
      <c r="F262" s="230"/>
      <c r="G262" s="187" t="s">
        <v>649</v>
      </c>
      <c r="H262" s="250">
        <v>46133</v>
      </c>
      <c r="I262" s="207">
        <v>2</v>
      </c>
      <c r="J262" s="187" t="s">
        <v>655</v>
      </c>
      <c r="K262" s="235">
        <v>2025.43</v>
      </c>
      <c r="L262" s="207" t="s">
        <v>565</v>
      </c>
      <c r="M262" s="237">
        <v>45198</v>
      </c>
      <c r="N262" s="207">
        <v>1</v>
      </c>
      <c r="O262" s="239"/>
      <c r="P262" s="249">
        <v>46157</v>
      </c>
      <c r="Q262" s="254">
        <v>46209</v>
      </c>
      <c r="R262" s="209">
        <f t="shared" si="5"/>
        <v>52</v>
      </c>
      <c r="S262" s="187"/>
    </row>
    <row r="263" spans="1:27" ht="18" customHeight="1">
      <c r="A263" s="230"/>
      <c r="B263" s="231"/>
      <c r="C263" s="187"/>
      <c r="D263" s="230"/>
      <c r="E263" s="232"/>
      <c r="F263" s="230"/>
      <c r="G263" s="187"/>
      <c r="H263" s="250"/>
      <c r="J263" s="187"/>
      <c r="M263" s="237"/>
      <c r="N263" s="207"/>
      <c r="O263" s="239"/>
      <c r="P263" s="249"/>
      <c r="Q263" s="254"/>
      <c r="R263" s="209" t="str">
        <f t="shared" si="5"/>
        <v/>
      </c>
      <c r="S263" s="187"/>
    </row>
    <row r="264" spans="1:27" ht="18" customHeight="1">
      <c r="A264" s="230">
        <v>39300</v>
      </c>
      <c r="B264" s="231">
        <v>73183</v>
      </c>
      <c r="C264" s="187" t="s">
        <v>213</v>
      </c>
      <c r="D264" s="230">
        <v>2</v>
      </c>
      <c r="E264" s="232">
        <v>700650806</v>
      </c>
      <c r="F264" s="237" t="s">
        <v>669</v>
      </c>
      <c r="G264" s="187" t="s">
        <v>541</v>
      </c>
      <c r="H264" s="250">
        <v>46183</v>
      </c>
      <c r="I264" s="207" t="s">
        <v>656</v>
      </c>
      <c r="J264" s="187" t="s">
        <v>819</v>
      </c>
      <c r="K264" s="235">
        <v>11645</v>
      </c>
      <c r="L264" s="207" t="s">
        <v>826</v>
      </c>
      <c r="M264" s="237"/>
      <c r="N264" s="207"/>
      <c r="O264" s="239"/>
      <c r="P264" s="249">
        <v>46243</v>
      </c>
      <c r="Q264" s="254"/>
      <c r="R264" s="209" t="str">
        <f t="shared" si="5"/>
        <v/>
      </c>
      <c r="S264" s="187"/>
    </row>
    <row r="265" spans="1:27" ht="18" customHeight="1">
      <c r="A265" s="230">
        <v>39300</v>
      </c>
      <c r="B265" s="231">
        <v>73183</v>
      </c>
      <c r="C265" s="187" t="s">
        <v>213</v>
      </c>
      <c r="D265" s="230">
        <v>6</v>
      </c>
      <c r="E265" s="232">
        <v>700650806</v>
      </c>
      <c r="F265" s="237" t="s">
        <v>669</v>
      </c>
      <c r="G265" s="187" t="s">
        <v>541</v>
      </c>
      <c r="H265" s="250">
        <v>46183</v>
      </c>
      <c r="I265" s="207" t="s">
        <v>657</v>
      </c>
      <c r="J265" s="187" t="s">
        <v>819</v>
      </c>
      <c r="K265" s="235">
        <v>11645</v>
      </c>
      <c r="L265" s="207" t="s">
        <v>827</v>
      </c>
      <c r="M265" s="237"/>
      <c r="N265" s="207"/>
      <c r="O265" s="239"/>
      <c r="P265" s="249">
        <v>46304</v>
      </c>
      <c r="Q265" s="254"/>
      <c r="R265" s="209" t="str">
        <f t="shared" si="5"/>
        <v/>
      </c>
      <c r="S265" s="187"/>
    </row>
    <row r="266" spans="1:27" ht="18" customHeight="1">
      <c r="A266" s="230"/>
      <c r="B266" s="231"/>
      <c r="C266" s="187"/>
      <c r="D266" s="230"/>
      <c r="E266" s="232"/>
      <c r="F266" s="230"/>
      <c r="G266" s="187"/>
      <c r="H266" s="250"/>
      <c r="J266" s="187"/>
      <c r="M266" s="237"/>
      <c r="N266" s="207"/>
      <c r="O266" s="239"/>
      <c r="P266" s="249"/>
      <c r="Q266" s="254"/>
      <c r="R266" s="209" t="str">
        <f t="shared" si="5"/>
        <v/>
      </c>
      <c r="S266" s="187"/>
      <c r="AA266" s="230">
        <v>1567</v>
      </c>
    </row>
    <row r="267" spans="1:27" ht="18" customHeight="1">
      <c r="A267" s="230">
        <v>39301</v>
      </c>
      <c r="B267" s="231">
        <v>73185</v>
      </c>
      <c r="C267" s="187" t="s">
        <v>31</v>
      </c>
      <c r="D267" s="230">
        <v>1</v>
      </c>
      <c r="E267" s="232">
        <v>2604658</v>
      </c>
      <c r="F267" s="230">
        <v>0</v>
      </c>
      <c r="G267" s="187" t="s">
        <v>579</v>
      </c>
      <c r="H267" s="250">
        <v>46135</v>
      </c>
      <c r="I267" s="207">
        <v>1</v>
      </c>
      <c r="J267" s="187" t="s">
        <v>659</v>
      </c>
      <c r="K267" s="235">
        <v>3497</v>
      </c>
      <c r="L267" s="207">
        <v>211265100</v>
      </c>
      <c r="M267" s="237"/>
      <c r="N267" s="207"/>
      <c r="O267" s="239"/>
      <c r="P267" s="249">
        <v>46179</v>
      </c>
      <c r="Q267" s="254"/>
      <c r="R267" s="209" t="str">
        <f t="shared" si="5"/>
        <v/>
      </c>
      <c r="S267" s="187"/>
    </row>
    <row r="268" spans="1:27" ht="18" customHeight="1">
      <c r="A268" s="230"/>
      <c r="B268" s="231"/>
      <c r="C268" s="187"/>
      <c r="D268" s="230"/>
      <c r="E268" s="232"/>
      <c r="F268" s="230"/>
      <c r="G268" s="187"/>
      <c r="H268" s="250"/>
      <c r="J268" s="187"/>
      <c r="M268" s="237"/>
      <c r="N268" s="207"/>
      <c r="O268" s="239"/>
      <c r="P268" s="249"/>
      <c r="Q268" s="254"/>
      <c r="R268" s="209" t="str">
        <f t="shared" si="5"/>
        <v/>
      </c>
      <c r="S268" s="187"/>
    </row>
    <row r="269" spans="1:27" ht="18" customHeight="1">
      <c r="A269" s="230">
        <v>39302</v>
      </c>
      <c r="B269" s="231">
        <v>73186</v>
      </c>
      <c r="C269" s="187" t="s">
        <v>41</v>
      </c>
      <c r="D269" s="230">
        <v>5</v>
      </c>
      <c r="E269" s="392" t="s">
        <v>660</v>
      </c>
      <c r="F269" s="230">
        <v>1</v>
      </c>
      <c r="G269" s="265" t="s">
        <v>552</v>
      </c>
      <c r="H269" s="250">
        <v>46135</v>
      </c>
      <c r="I269" s="207">
        <v>1</v>
      </c>
      <c r="J269" s="187" t="s">
        <v>661</v>
      </c>
      <c r="K269" s="235">
        <v>509</v>
      </c>
      <c r="L269" s="207" t="s">
        <v>668</v>
      </c>
      <c r="M269" s="237"/>
      <c r="N269" s="207"/>
      <c r="O269" s="239"/>
      <c r="P269" s="249">
        <v>46170</v>
      </c>
      <c r="Q269" s="254"/>
      <c r="R269" s="209" t="str">
        <f t="shared" si="5"/>
        <v/>
      </c>
      <c r="S269" s="187"/>
    </row>
    <row r="270" spans="1:27" ht="18" customHeight="1">
      <c r="A270" s="230">
        <v>39302</v>
      </c>
      <c r="B270" s="231">
        <v>73187</v>
      </c>
      <c r="C270" s="187" t="s">
        <v>41</v>
      </c>
      <c r="D270" s="230">
        <v>5</v>
      </c>
      <c r="E270" s="392" t="s">
        <v>663</v>
      </c>
      <c r="F270" s="230">
        <v>1</v>
      </c>
      <c r="G270" s="265" t="s">
        <v>552</v>
      </c>
      <c r="H270" s="250">
        <v>46135</v>
      </c>
      <c r="I270" s="207">
        <v>2</v>
      </c>
      <c r="J270" s="187" t="s">
        <v>662</v>
      </c>
      <c r="K270" s="235">
        <v>509</v>
      </c>
      <c r="L270" s="207" t="s">
        <v>668</v>
      </c>
      <c r="M270" s="237"/>
      <c r="N270" s="207"/>
      <c r="O270" s="239"/>
      <c r="P270" s="249">
        <v>46170</v>
      </c>
      <c r="Q270" s="254"/>
      <c r="R270" s="209" t="str">
        <f t="shared" si="5"/>
        <v/>
      </c>
      <c r="S270" s="187"/>
    </row>
    <row r="271" spans="1:27" ht="18" customHeight="1">
      <c r="A271" s="230"/>
      <c r="B271" s="231"/>
      <c r="C271" s="187"/>
      <c r="D271" s="230"/>
      <c r="E271" s="232"/>
      <c r="F271" s="230"/>
      <c r="G271" s="187"/>
      <c r="H271" s="250"/>
      <c r="J271" s="187"/>
      <c r="M271" s="237"/>
      <c r="N271" s="207"/>
      <c r="O271" s="239"/>
      <c r="P271" s="249"/>
      <c r="Q271" s="254"/>
      <c r="R271" s="209" t="str">
        <f t="shared" si="5"/>
        <v/>
      </c>
      <c r="S271" s="187"/>
    </row>
    <row r="272" spans="1:27" ht="18" customHeight="1">
      <c r="A272" s="230">
        <v>39303</v>
      </c>
      <c r="B272" s="231">
        <v>73188</v>
      </c>
      <c r="C272" s="187" t="s">
        <v>41</v>
      </c>
      <c r="D272" s="230">
        <v>6</v>
      </c>
      <c r="E272" s="232" t="s">
        <v>664</v>
      </c>
      <c r="F272" s="237">
        <v>2</v>
      </c>
      <c r="G272" s="187" t="s">
        <v>726</v>
      </c>
      <c r="H272" s="250">
        <v>46135</v>
      </c>
      <c r="I272" s="207">
        <v>1</v>
      </c>
      <c r="J272" s="187" t="s">
        <v>665</v>
      </c>
      <c r="K272" s="235">
        <v>1214</v>
      </c>
      <c r="L272" s="316" t="s">
        <v>727</v>
      </c>
      <c r="M272" s="237"/>
      <c r="N272" s="207"/>
      <c r="O272" s="239"/>
      <c r="P272" s="249">
        <v>46206</v>
      </c>
      <c r="Q272" s="254"/>
      <c r="R272" s="209" t="str">
        <f t="shared" si="5"/>
        <v/>
      </c>
      <c r="S272" s="187"/>
    </row>
    <row r="273" spans="1:27" ht="18" customHeight="1">
      <c r="A273" s="230">
        <v>39303</v>
      </c>
      <c r="B273" s="231">
        <v>73189</v>
      </c>
      <c r="C273" s="187" t="s">
        <v>41</v>
      </c>
      <c r="D273" s="230">
        <v>1</v>
      </c>
      <c r="E273" s="232" t="s">
        <v>666</v>
      </c>
      <c r="F273" s="230">
        <v>2</v>
      </c>
      <c r="G273" s="187" t="s">
        <v>726</v>
      </c>
      <c r="H273" s="250">
        <v>46135</v>
      </c>
      <c r="I273" s="207">
        <v>2</v>
      </c>
      <c r="J273" s="187" t="s">
        <v>667</v>
      </c>
      <c r="K273" s="235">
        <v>1930</v>
      </c>
      <c r="L273" s="316" t="s">
        <v>727</v>
      </c>
      <c r="M273" s="237"/>
      <c r="N273" s="207"/>
      <c r="O273" s="239"/>
      <c r="P273" s="249">
        <v>46206</v>
      </c>
      <c r="Q273" s="254"/>
      <c r="R273" s="209" t="str">
        <f t="shared" si="5"/>
        <v/>
      </c>
      <c r="S273" s="187"/>
      <c r="AA273" s="230">
        <v>1568</v>
      </c>
    </row>
    <row r="274" spans="1:27" ht="18" customHeight="1">
      <c r="A274" s="230"/>
      <c r="B274" s="231"/>
      <c r="C274" s="187"/>
      <c r="D274" s="230"/>
      <c r="E274" s="232"/>
      <c r="F274" s="230"/>
      <c r="G274" s="187"/>
      <c r="H274" s="250"/>
      <c r="J274" s="187"/>
      <c r="M274" s="237"/>
      <c r="N274" s="207"/>
      <c r="O274" s="239"/>
      <c r="P274" s="249"/>
      <c r="Q274" s="254"/>
      <c r="R274" s="209" t="str">
        <f t="shared" si="5"/>
        <v/>
      </c>
      <c r="S274" s="187"/>
      <c r="AA274" s="230">
        <v>1569</v>
      </c>
    </row>
    <row r="275" spans="1:27" ht="18" customHeight="1">
      <c r="A275" s="230">
        <v>39306</v>
      </c>
      <c r="B275" s="231">
        <v>73195</v>
      </c>
      <c r="C275" s="187" t="s">
        <v>213</v>
      </c>
      <c r="D275" s="230">
        <v>2</v>
      </c>
      <c r="E275" s="232">
        <v>700759338</v>
      </c>
      <c r="F275" s="230" t="s">
        <v>669</v>
      </c>
      <c r="G275" s="187" t="s">
        <v>541</v>
      </c>
      <c r="H275" s="250">
        <v>46143</v>
      </c>
      <c r="I275" s="207" t="s">
        <v>670</v>
      </c>
      <c r="J275" s="187" t="s">
        <v>671</v>
      </c>
      <c r="K275" s="235">
        <v>4660</v>
      </c>
      <c r="L275" s="207" t="s">
        <v>730</v>
      </c>
      <c r="M275" s="237"/>
      <c r="N275" s="207"/>
      <c r="O275" s="239"/>
      <c r="P275" s="249">
        <v>46213</v>
      </c>
      <c r="Q275" s="254"/>
      <c r="R275" s="209" t="str">
        <f t="shared" si="5"/>
        <v/>
      </c>
      <c r="S275" s="187"/>
    </row>
    <row r="276" spans="1:27" ht="18" customHeight="1">
      <c r="A276" s="230">
        <v>39306</v>
      </c>
      <c r="B276" s="231">
        <v>73195</v>
      </c>
      <c r="C276" s="187" t="s">
        <v>213</v>
      </c>
      <c r="D276" s="230">
        <v>4</v>
      </c>
      <c r="E276" s="232">
        <v>700759338</v>
      </c>
      <c r="F276" s="230" t="s">
        <v>669</v>
      </c>
      <c r="G276" s="187" t="s">
        <v>541</v>
      </c>
      <c r="H276" s="250">
        <v>46143</v>
      </c>
      <c r="I276" s="207" t="s">
        <v>672</v>
      </c>
      <c r="J276" s="187" t="s">
        <v>671</v>
      </c>
      <c r="K276" s="235">
        <v>4660</v>
      </c>
      <c r="L276" s="207" t="s">
        <v>730</v>
      </c>
      <c r="M276" s="237"/>
      <c r="N276" s="207"/>
      <c r="O276" s="239"/>
      <c r="P276" s="249">
        <v>46262</v>
      </c>
      <c r="Q276" s="254"/>
      <c r="R276" s="209" t="str">
        <f t="shared" si="5"/>
        <v/>
      </c>
      <c r="S276" s="187"/>
    </row>
    <row r="277" spans="1:27" ht="18" customHeight="1">
      <c r="A277" s="230"/>
      <c r="B277" s="231"/>
      <c r="C277" s="187"/>
      <c r="D277" s="230"/>
      <c r="E277" s="232"/>
      <c r="F277" s="230"/>
      <c r="G277" s="187"/>
      <c r="H277" s="250"/>
      <c r="J277" s="187"/>
      <c r="M277" s="237"/>
      <c r="N277" s="207"/>
      <c r="O277" s="239"/>
      <c r="P277" s="249"/>
      <c r="Q277" s="254"/>
      <c r="R277" s="209" t="str">
        <f t="shared" si="5"/>
        <v/>
      </c>
      <c r="S277" s="187"/>
      <c r="AA277" s="230">
        <v>1570</v>
      </c>
    </row>
    <row r="278" spans="1:27" ht="18" customHeight="1">
      <c r="A278" s="230">
        <v>39307</v>
      </c>
      <c r="B278" s="231">
        <v>73196</v>
      </c>
      <c r="C278" s="187" t="s">
        <v>47</v>
      </c>
      <c r="D278" s="230">
        <v>6</v>
      </c>
      <c r="E278" s="232" t="s">
        <v>828</v>
      </c>
      <c r="F278" s="230"/>
      <c r="G278" s="187" t="s">
        <v>673</v>
      </c>
      <c r="H278" s="250">
        <v>46146</v>
      </c>
      <c r="I278" s="207">
        <v>1</v>
      </c>
      <c r="J278" s="187" t="s">
        <v>675</v>
      </c>
      <c r="K278" s="235">
        <v>11886</v>
      </c>
      <c r="L278" s="207" t="s">
        <v>674</v>
      </c>
      <c r="M278" s="237"/>
      <c r="N278" s="207"/>
      <c r="O278" s="239"/>
      <c r="P278" s="249">
        <v>46249</v>
      </c>
      <c r="Q278" s="254"/>
      <c r="R278" s="209" t="str">
        <f t="shared" si="5"/>
        <v/>
      </c>
      <c r="S278" s="187"/>
    </row>
    <row r="279" spans="1:27" ht="18" customHeight="1">
      <c r="A279" s="230"/>
      <c r="B279" s="231"/>
      <c r="C279" s="187"/>
      <c r="D279" s="230"/>
      <c r="E279" s="232"/>
      <c r="F279" s="230"/>
      <c r="G279" s="187"/>
      <c r="H279" s="250"/>
      <c r="J279" s="187"/>
      <c r="M279" s="237"/>
      <c r="N279" s="207"/>
      <c r="O279" s="239"/>
      <c r="P279" s="249"/>
      <c r="Q279" s="254"/>
      <c r="R279" s="209" t="str">
        <f t="shared" si="5"/>
        <v/>
      </c>
      <c r="S279" s="187"/>
    </row>
    <row r="280" spans="1:27" ht="18" customHeight="1">
      <c r="A280" s="230">
        <v>39308</v>
      </c>
      <c r="B280" s="231">
        <v>73197</v>
      </c>
      <c r="C280" s="187" t="s">
        <v>213</v>
      </c>
      <c r="D280" s="230">
        <v>1</v>
      </c>
      <c r="E280" s="232">
        <v>700473149</v>
      </c>
      <c r="F280" s="230" t="s">
        <v>676</v>
      </c>
      <c r="G280" s="187" t="s">
        <v>677</v>
      </c>
      <c r="H280" s="250">
        <v>46147</v>
      </c>
      <c r="I280" s="207">
        <v>1</v>
      </c>
      <c r="J280" s="187" t="s">
        <v>678</v>
      </c>
      <c r="K280" s="235">
        <v>2570</v>
      </c>
      <c r="L280" s="207">
        <v>8250959</v>
      </c>
      <c r="M280" s="237">
        <v>45203</v>
      </c>
      <c r="N280" s="207">
        <v>1</v>
      </c>
      <c r="O280" s="239">
        <v>53439</v>
      </c>
      <c r="P280" s="249">
        <v>46168</v>
      </c>
      <c r="Q280" s="254">
        <v>46209</v>
      </c>
      <c r="R280" s="209">
        <f t="shared" si="5"/>
        <v>41</v>
      </c>
      <c r="S280" s="187"/>
    </row>
    <row r="281" spans="1:27" ht="18" customHeight="1">
      <c r="A281" s="230"/>
      <c r="B281" s="231"/>
      <c r="C281" s="187"/>
      <c r="D281" s="230"/>
      <c r="E281" s="232"/>
      <c r="F281" s="230"/>
      <c r="G281" s="187"/>
      <c r="H281" s="250"/>
      <c r="J281" s="187"/>
      <c r="M281" s="237"/>
      <c r="N281" s="207"/>
      <c r="O281" s="239"/>
      <c r="P281" s="249"/>
      <c r="Q281" s="254"/>
      <c r="R281" s="209" t="str">
        <f t="shared" si="5"/>
        <v/>
      </c>
      <c r="S281" s="187"/>
    </row>
    <row r="282" spans="1:27" ht="18" customHeight="1">
      <c r="A282" s="230">
        <v>39309</v>
      </c>
      <c r="B282" s="231">
        <v>73198</v>
      </c>
      <c r="C282" s="187" t="s">
        <v>213</v>
      </c>
      <c r="D282" s="230">
        <v>1</v>
      </c>
      <c r="E282" s="232">
        <v>700741777</v>
      </c>
      <c r="F282" s="230" t="s">
        <v>669</v>
      </c>
      <c r="G282" s="187" t="s">
        <v>541</v>
      </c>
      <c r="H282" s="250">
        <v>46147</v>
      </c>
      <c r="I282" s="207">
        <v>1</v>
      </c>
      <c r="J282" s="187" t="s">
        <v>679</v>
      </c>
      <c r="K282" s="235">
        <v>29600</v>
      </c>
      <c r="L282" s="207" t="s">
        <v>680</v>
      </c>
      <c r="M282" s="237"/>
      <c r="N282" s="207"/>
      <c r="O282" s="239"/>
      <c r="P282" s="249">
        <v>46226</v>
      </c>
      <c r="Q282" s="254"/>
      <c r="R282" s="209" t="str">
        <f t="shared" si="5"/>
        <v/>
      </c>
      <c r="S282" s="187"/>
      <c r="AA282" s="230">
        <v>1571</v>
      </c>
    </row>
    <row r="283" spans="1:27" ht="18" customHeight="1">
      <c r="A283" s="230">
        <v>39309</v>
      </c>
      <c r="B283" s="231">
        <v>73198</v>
      </c>
      <c r="C283" s="187" t="s">
        <v>213</v>
      </c>
      <c r="D283" s="230">
        <v>1</v>
      </c>
      <c r="E283" s="232">
        <v>700741777</v>
      </c>
      <c r="F283" s="230" t="s">
        <v>669</v>
      </c>
      <c r="G283" s="187" t="s">
        <v>541</v>
      </c>
      <c r="H283" s="250">
        <v>46148</v>
      </c>
      <c r="I283" s="207">
        <v>2</v>
      </c>
      <c r="J283" s="187" t="s">
        <v>679</v>
      </c>
      <c r="K283" s="235">
        <v>29600</v>
      </c>
      <c r="L283" s="207" t="s">
        <v>680</v>
      </c>
      <c r="M283" s="237"/>
      <c r="N283" s="207"/>
      <c r="O283" s="239"/>
      <c r="P283" s="249">
        <v>46251</v>
      </c>
      <c r="Q283" s="254"/>
      <c r="R283" s="209" t="str">
        <f t="shared" si="5"/>
        <v/>
      </c>
      <c r="S283" s="187"/>
    </row>
    <row r="284" spans="1:27" ht="18" customHeight="1">
      <c r="A284" s="230">
        <v>39309</v>
      </c>
      <c r="B284" s="231">
        <v>73198</v>
      </c>
      <c r="C284" s="187" t="s">
        <v>213</v>
      </c>
      <c r="D284" s="230">
        <v>1</v>
      </c>
      <c r="E284" s="232">
        <v>700741777</v>
      </c>
      <c r="F284" s="230" t="s">
        <v>669</v>
      </c>
      <c r="G284" s="187" t="s">
        <v>541</v>
      </c>
      <c r="H284" s="250">
        <v>46149</v>
      </c>
      <c r="I284" s="207">
        <v>3</v>
      </c>
      <c r="J284" s="187" t="s">
        <v>679</v>
      </c>
      <c r="K284" s="235">
        <v>29600</v>
      </c>
      <c r="L284" s="207" t="s">
        <v>680</v>
      </c>
      <c r="M284" s="237"/>
      <c r="N284" s="207"/>
      <c r="O284" s="239"/>
      <c r="P284" s="249">
        <v>46282</v>
      </c>
      <c r="Q284" s="254"/>
      <c r="R284" s="209" t="str">
        <f t="shared" si="5"/>
        <v/>
      </c>
      <c r="S284" s="187"/>
    </row>
    <row r="285" spans="1:27" ht="18" customHeight="1">
      <c r="A285" s="230"/>
      <c r="B285" s="231"/>
      <c r="C285" s="187"/>
      <c r="D285" s="230"/>
      <c r="E285" s="232"/>
      <c r="F285" s="230"/>
      <c r="G285" s="187"/>
      <c r="H285" s="250"/>
      <c r="J285" s="187"/>
      <c r="M285" s="237"/>
      <c r="N285" s="207"/>
      <c r="O285" s="239"/>
      <c r="P285" s="249"/>
      <c r="Q285" s="254"/>
      <c r="R285" s="209" t="str">
        <f t="shared" si="5"/>
        <v/>
      </c>
      <c r="S285" s="187"/>
    </row>
    <row r="286" spans="1:27" ht="18" customHeight="1">
      <c r="A286" s="230">
        <v>39310</v>
      </c>
      <c r="B286" s="231">
        <v>73199</v>
      </c>
      <c r="C286" s="187" t="s">
        <v>213</v>
      </c>
      <c r="D286" s="230">
        <v>2</v>
      </c>
      <c r="E286" s="232">
        <v>700759343</v>
      </c>
      <c r="F286" s="230" t="s">
        <v>210</v>
      </c>
      <c r="G286" s="187" t="s">
        <v>681</v>
      </c>
      <c r="H286" s="250">
        <v>46149</v>
      </c>
      <c r="I286" s="207" t="s">
        <v>670</v>
      </c>
      <c r="J286" s="187" t="s">
        <v>682</v>
      </c>
      <c r="K286" s="235">
        <v>1688</v>
      </c>
      <c r="L286" s="207" t="s">
        <v>831</v>
      </c>
      <c r="M286" s="237"/>
      <c r="N286" s="207"/>
      <c r="O286" s="239"/>
      <c r="P286" s="249">
        <v>46206</v>
      </c>
      <c r="Q286" s="230"/>
      <c r="R286" s="209" t="str">
        <f t="shared" si="5"/>
        <v/>
      </c>
      <c r="S286" s="187"/>
    </row>
    <row r="287" spans="1:27" ht="18" customHeight="1">
      <c r="A287" s="230">
        <v>39310</v>
      </c>
      <c r="B287" s="231">
        <v>73199</v>
      </c>
      <c r="C287" s="187" t="s">
        <v>213</v>
      </c>
      <c r="D287" s="230">
        <v>4</v>
      </c>
      <c r="E287" s="232">
        <v>700759343</v>
      </c>
      <c r="F287" s="230" t="s">
        <v>210</v>
      </c>
      <c r="G287" s="187" t="s">
        <v>681</v>
      </c>
      <c r="H287" s="250">
        <v>46149</v>
      </c>
      <c r="I287" s="207" t="s">
        <v>672</v>
      </c>
      <c r="J287" s="187" t="s">
        <v>682</v>
      </c>
      <c r="K287" s="235">
        <v>1689</v>
      </c>
      <c r="L287" s="207" t="s">
        <v>829</v>
      </c>
      <c r="M287" s="237"/>
      <c r="N287" s="207"/>
      <c r="O287" s="239"/>
      <c r="P287" s="249">
        <v>46255</v>
      </c>
      <c r="Q287" s="254"/>
      <c r="R287" s="209" t="str">
        <f t="shared" si="5"/>
        <v/>
      </c>
      <c r="S287" s="187"/>
    </row>
    <row r="288" spans="1:27" ht="18" customHeight="1">
      <c r="A288" s="230">
        <v>39310</v>
      </c>
      <c r="B288" s="231">
        <v>73200</v>
      </c>
      <c r="C288" s="187" t="s">
        <v>213</v>
      </c>
      <c r="D288" s="230">
        <v>4</v>
      </c>
      <c r="E288" s="232">
        <v>700759354</v>
      </c>
      <c r="F288" s="398" t="s">
        <v>676</v>
      </c>
      <c r="G288" s="266" t="s">
        <v>681</v>
      </c>
      <c r="H288" s="250">
        <v>46149</v>
      </c>
      <c r="I288" s="207" t="s">
        <v>683</v>
      </c>
      <c r="J288" s="187" t="s">
        <v>684</v>
      </c>
      <c r="K288" s="235">
        <v>1160</v>
      </c>
      <c r="L288" s="207" t="s">
        <v>830</v>
      </c>
      <c r="M288" s="237"/>
      <c r="N288" s="207"/>
      <c r="O288" s="239"/>
      <c r="P288" s="249">
        <v>46206</v>
      </c>
      <c r="Q288" s="254"/>
      <c r="R288" s="209" t="str">
        <f t="shared" si="5"/>
        <v/>
      </c>
      <c r="S288" s="187"/>
    </row>
    <row r="289" spans="1:27" ht="18" customHeight="1">
      <c r="A289" s="230">
        <v>39310</v>
      </c>
      <c r="B289" s="231">
        <v>73200</v>
      </c>
      <c r="C289" s="187" t="s">
        <v>213</v>
      </c>
      <c r="D289" s="230">
        <v>8</v>
      </c>
      <c r="E289" s="232">
        <v>700759354</v>
      </c>
      <c r="F289" s="398" t="s">
        <v>676</v>
      </c>
      <c r="G289" s="266" t="s">
        <v>681</v>
      </c>
      <c r="H289" s="250">
        <v>46149</v>
      </c>
      <c r="I289" s="207" t="s">
        <v>685</v>
      </c>
      <c r="J289" s="187" t="s">
        <v>684</v>
      </c>
      <c r="K289" s="235">
        <v>1160</v>
      </c>
      <c r="L289" s="207" t="s">
        <v>830</v>
      </c>
      <c r="M289" s="237"/>
      <c r="N289" s="207"/>
      <c r="O289" s="239"/>
      <c r="P289" s="249">
        <v>46255</v>
      </c>
      <c r="Q289" s="254"/>
      <c r="R289" s="209" t="str">
        <f t="shared" si="5"/>
        <v/>
      </c>
      <c r="S289" s="187"/>
    </row>
    <row r="290" spans="1:27" ht="18" customHeight="1">
      <c r="A290" s="230"/>
      <c r="B290" s="231"/>
      <c r="C290" s="187"/>
      <c r="D290" s="230"/>
      <c r="E290" s="232"/>
      <c r="F290" s="230"/>
      <c r="G290" s="187"/>
      <c r="H290" s="250"/>
      <c r="J290" s="187"/>
      <c r="M290" s="237"/>
      <c r="N290" s="207"/>
      <c r="O290" s="239"/>
      <c r="P290" s="249"/>
      <c r="Q290" s="254"/>
      <c r="R290" s="209" t="str">
        <f t="shared" si="5"/>
        <v/>
      </c>
      <c r="S290" s="187"/>
    </row>
    <row r="291" spans="1:27" ht="18" customHeight="1">
      <c r="A291" s="230">
        <v>39311</v>
      </c>
      <c r="B291" s="231">
        <v>73201</v>
      </c>
      <c r="C291" s="187" t="s">
        <v>32</v>
      </c>
      <c r="D291" s="230">
        <v>1</v>
      </c>
      <c r="E291" s="232"/>
      <c r="F291" s="230"/>
      <c r="G291" s="187" t="s">
        <v>542</v>
      </c>
      <c r="H291" s="250">
        <v>46149</v>
      </c>
      <c r="J291" s="187" t="s">
        <v>686</v>
      </c>
      <c r="M291" s="237"/>
      <c r="N291" s="207"/>
      <c r="O291" s="239"/>
      <c r="P291" s="249"/>
      <c r="Q291" s="254"/>
      <c r="R291" s="209" t="str">
        <f t="shared" si="5"/>
        <v/>
      </c>
      <c r="S291" s="187"/>
    </row>
    <row r="292" spans="1:27" ht="18" customHeight="1">
      <c r="A292" s="230"/>
      <c r="B292" s="231"/>
      <c r="C292" s="187"/>
      <c r="D292" s="230"/>
      <c r="E292" s="232"/>
      <c r="F292" s="230"/>
      <c r="G292" s="187"/>
      <c r="H292" s="250"/>
      <c r="J292" s="187"/>
      <c r="M292" s="237"/>
      <c r="N292" s="207"/>
      <c r="O292" s="239"/>
      <c r="P292" s="249"/>
      <c r="Q292" s="254"/>
      <c r="R292" s="209" t="str">
        <f t="shared" si="5"/>
        <v/>
      </c>
      <c r="S292" s="187"/>
      <c r="AA292" s="230">
        <v>1572</v>
      </c>
    </row>
    <row r="293" spans="1:27" ht="18" customHeight="1">
      <c r="A293" s="230">
        <v>39312</v>
      </c>
      <c r="B293" s="231">
        <v>73202</v>
      </c>
      <c r="C293" s="187" t="s">
        <v>192</v>
      </c>
      <c r="D293" s="230">
        <v>5</v>
      </c>
      <c r="E293" s="232" t="s">
        <v>687</v>
      </c>
      <c r="F293" s="230" t="s">
        <v>688</v>
      </c>
      <c r="G293" s="187" t="s">
        <v>689</v>
      </c>
      <c r="H293" s="250">
        <v>46150</v>
      </c>
      <c r="I293" s="207">
        <v>1</v>
      </c>
      <c r="J293" s="187" t="s">
        <v>690</v>
      </c>
      <c r="K293" s="235">
        <v>798</v>
      </c>
      <c r="L293" s="207">
        <v>1116481</v>
      </c>
      <c r="M293" s="237"/>
      <c r="N293" s="207"/>
      <c r="O293" s="239"/>
      <c r="P293" s="249">
        <v>46217</v>
      </c>
      <c r="Q293" s="254"/>
      <c r="R293" s="209" t="str">
        <f t="shared" si="5"/>
        <v/>
      </c>
      <c r="S293" s="187"/>
      <c r="AA293" s="230">
        <v>1573</v>
      </c>
    </row>
    <row r="294" spans="1:27" ht="18" customHeight="1">
      <c r="A294" s="230">
        <v>39312</v>
      </c>
      <c r="B294" s="231">
        <v>73203</v>
      </c>
      <c r="C294" s="187" t="s">
        <v>192</v>
      </c>
      <c r="D294" s="230">
        <v>5</v>
      </c>
      <c r="E294" s="232" t="s">
        <v>691</v>
      </c>
      <c r="F294" s="230" t="s">
        <v>688</v>
      </c>
      <c r="G294" s="187" t="s">
        <v>689</v>
      </c>
      <c r="H294" s="250" t="e">
        <f>#REF!</f>
        <v>#REF!</v>
      </c>
      <c r="I294" s="207">
        <v>2</v>
      </c>
      <c r="J294" s="187" t="s">
        <v>692</v>
      </c>
      <c r="K294" s="235">
        <v>910</v>
      </c>
      <c r="L294" s="207">
        <v>1116481</v>
      </c>
      <c r="M294" s="237"/>
      <c r="N294" s="207"/>
      <c r="O294" s="239"/>
      <c r="P294" s="249">
        <v>46217</v>
      </c>
      <c r="Q294" s="254"/>
      <c r="R294" s="209" t="str">
        <f t="shared" si="5"/>
        <v/>
      </c>
      <c r="S294" s="187"/>
    </row>
    <row r="295" spans="1:27" ht="18" customHeight="1">
      <c r="A295" s="230">
        <v>39312</v>
      </c>
      <c r="B295" s="231">
        <v>73204</v>
      </c>
      <c r="C295" s="187" t="s">
        <v>192</v>
      </c>
      <c r="D295" s="230">
        <v>1</v>
      </c>
      <c r="E295" s="232" t="s">
        <v>693</v>
      </c>
      <c r="F295" s="230"/>
      <c r="G295" s="187" t="s">
        <v>689</v>
      </c>
      <c r="H295" s="250" t="e">
        <f>#REF!</f>
        <v>#REF!</v>
      </c>
      <c r="I295" s="207">
        <v>4</v>
      </c>
      <c r="J295" s="187" t="s">
        <v>694</v>
      </c>
      <c r="K295" s="235">
        <v>7589</v>
      </c>
      <c r="L295" s="207">
        <v>1116481</v>
      </c>
      <c r="M295" s="237"/>
      <c r="N295" s="207"/>
      <c r="O295" s="239"/>
      <c r="P295" s="249">
        <v>46217</v>
      </c>
      <c r="Q295" s="254"/>
      <c r="R295" s="209" t="str">
        <f t="shared" si="5"/>
        <v/>
      </c>
      <c r="S295" s="187"/>
      <c r="AA295" s="230">
        <v>1574</v>
      </c>
    </row>
    <row r="296" spans="1:27" ht="18" customHeight="1">
      <c r="A296" s="230">
        <v>39312</v>
      </c>
      <c r="B296" s="231">
        <v>73205</v>
      </c>
      <c r="C296" s="187" t="s">
        <v>192</v>
      </c>
      <c r="D296" s="230">
        <v>1</v>
      </c>
      <c r="E296" s="232" t="s">
        <v>695</v>
      </c>
      <c r="F296" s="230"/>
      <c r="G296" s="187" t="s">
        <v>689</v>
      </c>
      <c r="H296" s="250" t="e">
        <f>#REF!</f>
        <v>#REF!</v>
      </c>
      <c r="I296" s="207">
        <v>5</v>
      </c>
      <c r="J296" s="187" t="s">
        <v>696</v>
      </c>
      <c r="K296" s="235">
        <v>910</v>
      </c>
      <c r="L296" s="207">
        <v>1116481</v>
      </c>
      <c r="M296" s="237"/>
      <c r="N296" s="207"/>
      <c r="O296" s="239"/>
      <c r="P296" s="249">
        <v>46217</v>
      </c>
      <c r="Q296" s="254"/>
      <c r="R296" s="209" t="str">
        <f t="shared" si="5"/>
        <v/>
      </c>
      <c r="S296" s="187"/>
    </row>
    <row r="297" spans="1:27" ht="18" customHeight="1">
      <c r="A297" s="230">
        <v>39312</v>
      </c>
      <c r="B297" s="231">
        <v>73206</v>
      </c>
      <c r="C297" s="187" t="s">
        <v>192</v>
      </c>
      <c r="D297" s="230">
        <v>1</v>
      </c>
      <c r="E297" s="232" t="s">
        <v>697</v>
      </c>
      <c r="F297" s="230"/>
      <c r="G297" s="187" t="s">
        <v>689</v>
      </c>
      <c r="H297" s="250" t="e">
        <f>#REF!</f>
        <v>#REF!</v>
      </c>
      <c r="I297" s="207">
        <v>6</v>
      </c>
      <c r="J297" s="187" t="s">
        <v>698</v>
      </c>
      <c r="K297" s="235">
        <v>5182</v>
      </c>
      <c r="L297" s="207">
        <v>1116481</v>
      </c>
      <c r="M297" s="237"/>
      <c r="N297" s="207"/>
      <c r="O297" s="239"/>
      <c r="P297" s="249">
        <v>46217</v>
      </c>
      <c r="Q297" s="254"/>
      <c r="R297" s="209" t="str">
        <f t="shared" si="5"/>
        <v/>
      </c>
      <c r="S297" s="187"/>
      <c r="AA297" s="230">
        <v>1575</v>
      </c>
    </row>
    <row r="298" spans="1:27" ht="18" customHeight="1">
      <c r="A298" s="230"/>
      <c r="B298" s="231"/>
      <c r="C298" s="187"/>
      <c r="D298" s="230"/>
      <c r="E298" s="232"/>
      <c r="F298" s="230"/>
      <c r="G298" s="187"/>
      <c r="H298" s="250"/>
      <c r="J298" s="187"/>
      <c r="M298" s="237"/>
      <c r="N298" s="207"/>
      <c r="O298" s="239"/>
      <c r="P298" s="249"/>
      <c r="Q298" s="254"/>
      <c r="R298" s="209" t="str">
        <f t="shared" si="5"/>
        <v/>
      </c>
      <c r="S298" s="187"/>
    </row>
    <row r="299" spans="1:27" ht="18" customHeight="1">
      <c r="A299" s="230">
        <v>39313</v>
      </c>
      <c r="B299" s="231">
        <v>73207</v>
      </c>
      <c r="C299" s="187" t="s">
        <v>192</v>
      </c>
      <c r="D299" s="230">
        <v>5</v>
      </c>
      <c r="E299" s="232" t="s">
        <v>699</v>
      </c>
      <c r="F299" s="230" t="s">
        <v>688</v>
      </c>
      <c r="G299" s="187" t="s">
        <v>689</v>
      </c>
      <c r="H299" s="250">
        <v>46150</v>
      </c>
      <c r="I299" s="207">
        <v>1</v>
      </c>
      <c r="J299" s="187" t="s">
        <v>700</v>
      </c>
      <c r="K299" s="235">
        <v>7966</v>
      </c>
      <c r="L299" s="207">
        <v>1116532</v>
      </c>
      <c r="M299" s="237"/>
      <c r="N299" s="207"/>
      <c r="O299" s="239"/>
      <c r="P299" s="249">
        <v>46321</v>
      </c>
      <c r="Q299" s="254"/>
      <c r="R299" s="209" t="str">
        <f t="shared" si="5"/>
        <v/>
      </c>
      <c r="S299" s="187"/>
      <c r="AA299" s="230">
        <v>1576</v>
      </c>
    </row>
    <row r="300" spans="1:27" ht="18" customHeight="1">
      <c r="A300" s="230"/>
      <c r="B300" s="231"/>
      <c r="C300" s="187"/>
      <c r="D300" s="230"/>
      <c r="E300" s="232"/>
      <c r="F300" s="230"/>
      <c r="G300" s="187"/>
      <c r="H300" s="250"/>
      <c r="J300" s="187"/>
      <c r="M300" s="237"/>
      <c r="N300" s="207"/>
      <c r="O300" s="239"/>
      <c r="P300" s="249"/>
      <c r="Q300" s="254"/>
      <c r="R300" s="209" t="str">
        <f t="shared" si="5"/>
        <v/>
      </c>
      <c r="S300" s="187"/>
    </row>
    <row r="301" spans="1:27" ht="18" customHeight="1">
      <c r="A301" s="230">
        <v>39314</v>
      </c>
      <c r="B301" s="393">
        <v>73208</v>
      </c>
      <c r="C301" s="187" t="s">
        <v>192</v>
      </c>
      <c r="D301" s="230">
        <v>10</v>
      </c>
      <c r="E301" s="232" t="s">
        <v>701</v>
      </c>
      <c r="F301" s="230"/>
      <c r="G301" s="187" t="s">
        <v>689</v>
      </c>
      <c r="H301" s="250">
        <f>$H$266</f>
        <v>0</v>
      </c>
      <c r="I301" s="207">
        <v>1</v>
      </c>
      <c r="J301" s="187" t="s">
        <v>702</v>
      </c>
      <c r="K301" s="235">
        <v>676</v>
      </c>
      <c r="L301" s="207">
        <v>1116533</v>
      </c>
      <c r="M301" s="237"/>
      <c r="N301" s="207"/>
      <c r="O301" s="239"/>
      <c r="P301" s="249">
        <v>46217</v>
      </c>
      <c r="Q301" s="254"/>
      <c r="R301" s="209" t="str">
        <f t="shared" si="5"/>
        <v/>
      </c>
      <c r="S301" s="187"/>
      <c r="AA301" s="230">
        <v>1578</v>
      </c>
    </row>
    <row r="302" spans="1:27" ht="18" customHeight="1">
      <c r="A302" s="230">
        <v>39314</v>
      </c>
      <c r="B302" s="393">
        <v>73209</v>
      </c>
      <c r="C302" s="187" t="s">
        <v>192</v>
      </c>
      <c r="D302" s="230">
        <v>10</v>
      </c>
      <c r="E302" s="232" t="s">
        <v>703</v>
      </c>
      <c r="F302" s="230"/>
      <c r="G302" s="187" t="s">
        <v>689</v>
      </c>
      <c r="H302" s="250">
        <f>$H$266</f>
        <v>0</v>
      </c>
      <c r="I302" s="207">
        <v>2</v>
      </c>
      <c r="J302" s="187" t="s">
        <v>704</v>
      </c>
      <c r="K302" s="235">
        <v>368</v>
      </c>
      <c r="L302" s="207">
        <v>1116533</v>
      </c>
      <c r="M302" s="237"/>
      <c r="N302" s="207"/>
      <c r="O302" s="239"/>
      <c r="P302" s="249">
        <v>46217</v>
      </c>
      <c r="Q302" s="254"/>
      <c r="R302" s="209" t="str">
        <f t="shared" si="5"/>
        <v/>
      </c>
      <c r="S302" s="187"/>
    </row>
    <row r="303" spans="1:27" ht="18" customHeight="1">
      <c r="A303" s="230">
        <v>39314</v>
      </c>
      <c r="B303" s="393">
        <v>73210</v>
      </c>
      <c r="C303" s="187" t="s">
        <v>192</v>
      </c>
      <c r="D303" s="230">
        <v>10</v>
      </c>
      <c r="E303" s="232" t="s">
        <v>705</v>
      </c>
      <c r="F303" s="230"/>
      <c r="G303" s="187" t="s">
        <v>689</v>
      </c>
      <c r="H303" s="250">
        <f>$H$266</f>
        <v>0</v>
      </c>
      <c r="I303" s="207">
        <v>3</v>
      </c>
      <c r="J303" s="187" t="s">
        <v>706</v>
      </c>
      <c r="K303" s="235">
        <v>252</v>
      </c>
      <c r="L303" s="207">
        <v>1116533</v>
      </c>
      <c r="M303" s="237"/>
      <c r="N303" s="207"/>
      <c r="O303" s="239"/>
      <c r="P303" s="249">
        <v>46217</v>
      </c>
      <c r="Q303" s="254"/>
      <c r="R303" s="209" t="str">
        <f t="shared" si="5"/>
        <v/>
      </c>
      <c r="S303" s="187"/>
      <c r="AA303" s="230">
        <v>1579</v>
      </c>
    </row>
    <row r="304" spans="1:27" ht="18" customHeight="1">
      <c r="A304" s="230">
        <v>39314</v>
      </c>
      <c r="B304" s="231">
        <v>73211</v>
      </c>
      <c r="C304" s="187" t="s">
        <v>192</v>
      </c>
      <c r="D304" s="230">
        <v>40</v>
      </c>
      <c r="E304" s="232" t="s">
        <v>707</v>
      </c>
      <c r="F304" s="230"/>
      <c r="G304" s="187" t="s">
        <v>689</v>
      </c>
      <c r="H304" s="250">
        <f>$H$266</f>
        <v>0</v>
      </c>
      <c r="I304" s="207">
        <v>4</v>
      </c>
      <c r="J304" s="187" t="s">
        <v>708</v>
      </c>
      <c r="K304" s="235">
        <v>102</v>
      </c>
      <c r="L304" s="207">
        <v>1116533</v>
      </c>
      <c r="M304" s="237"/>
      <c r="N304" s="207"/>
      <c r="O304" s="239"/>
      <c r="P304" s="249">
        <v>46217</v>
      </c>
      <c r="Q304" s="254"/>
      <c r="R304" s="209" t="str">
        <f t="shared" si="5"/>
        <v/>
      </c>
      <c r="S304" s="187"/>
      <c r="AA304" s="230">
        <v>1580</v>
      </c>
    </row>
    <row r="305" spans="1:27" ht="18" customHeight="1">
      <c r="A305" s="230"/>
      <c r="B305" s="231"/>
      <c r="C305" s="187"/>
      <c r="D305" s="230"/>
      <c r="E305" s="232"/>
      <c r="F305" s="230"/>
      <c r="G305" s="187"/>
      <c r="H305" s="250"/>
      <c r="J305" s="187"/>
      <c r="M305" s="237"/>
      <c r="N305" s="207"/>
      <c r="O305" s="239"/>
      <c r="P305" s="249"/>
      <c r="Q305" s="254"/>
      <c r="R305" s="209" t="str">
        <f t="shared" si="5"/>
        <v/>
      </c>
      <c r="S305" s="187"/>
    </row>
    <row r="306" spans="1:27" ht="18" customHeight="1">
      <c r="A306" s="230">
        <v>39317</v>
      </c>
      <c r="B306" s="231">
        <v>73219</v>
      </c>
      <c r="C306" s="187" t="s">
        <v>213</v>
      </c>
      <c r="D306" s="230">
        <v>2</v>
      </c>
      <c r="E306" s="232">
        <v>700759336</v>
      </c>
      <c r="F306" s="230" t="s">
        <v>676</v>
      </c>
      <c r="G306" s="187" t="s">
        <v>541</v>
      </c>
      <c r="H306" s="250">
        <v>46154</v>
      </c>
      <c r="I306" s="207" t="s">
        <v>670</v>
      </c>
      <c r="J306" s="187" t="s">
        <v>709</v>
      </c>
      <c r="K306" s="235">
        <v>13430</v>
      </c>
      <c r="L306" s="207" t="s">
        <v>728</v>
      </c>
      <c r="M306" s="237"/>
      <c r="N306" s="207"/>
      <c r="O306" s="239"/>
      <c r="P306" s="249">
        <v>46203</v>
      </c>
      <c r="Q306" s="254"/>
      <c r="R306" s="209" t="str">
        <f t="shared" si="5"/>
        <v/>
      </c>
      <c r="S306" s="187"/>
      <c r="AA306" s="230">
        <v>1582</v>
      </c>
    </row>
    <row r="307" spans="1:27" ht="18" customHeight="1">
      <c r="A307" s="230">
        <v>39317</v>
      </c>
      <c r="B307" s="231">
        <v>73219</v>
      </c>
      <c r="C307" s="187" t="s">
        <v>213</v>
      </c>
      <c r="D307" s="230">
        <v>4</v>
      </c>
      <c r="E307" s="232">
        <v>700759336</v>
      </c>
      <c r="F307" s="230" t="s">
        <v>676</v>
      </c>
      <c r="G307" s="187" t="s">
        <v>541</v>
      </c>
      <c r="H307" s="250">
        <v>46154</v>
      </c>
      <c r="I307" s="394" t="s">
        <v>672</v>
      </c>
      <c r="J307" s="187" t="s">
        <v>709</v>
      </c>
      <c r="K307" s="235">
        <v>13430</v>
      </c>
      <c r="L307" s="207" t="s">
        <v>728</v>
      </c>
      <c r="M307" s="237"/>
      <c r="N307" s="207"/>
      <c r="O307" s="239"/>
      <c r="P307" s="249">
        <v>46290</v>
      </c>
      <c r="Q307" s="254"/>
      <c r="R307" s="209" t="str">
        <f t="shared" si="5"/>
        <v/>
      </c>
      <c r="S307" s="187"/>
      <c r="AA307" s="230">
        <v>1583</v>
      </c>
    </row>
    <row r="308" spans="1:27" ht="18" customHeight="1">
      <c r="A308" s="230">
        <v>39317</v>
      </c>
      <c r="B308" s="231">
        <v>73220</v>
      </c>
      <c r="C308" s="187" t="s">
        <v>213</v>
      </c>
      <c r="D308" s="230">
        <v>4</v>
      </c>
      <c r="E308" s="232">
        <v>700759355</v>
      </c>
      <c r="F308" s="230" t="s">
        <v>676</v>
      </c>
      <c r="G308" s="187" t="s">
        <v>541</v>
      </c>
      <c r="H308" s="250">
        <v>46154</v>
      </c>
      <c r="I308" s="207" t="s">
        <v>710</v>
      </c>
      <c r="J308" s="187" t="s">
        <v>711</v>
      </c>
      <c r="K308" s="235">
        <v>8315</v>
      </c>
      <c r="L308" s="207" t="s">
        <v>729</v>
      </c>
      <c r="M308" s="237"/>
      <c r="N308" s="207"/>
      <c r="O308" s="239"/>
      <c r="P308" s="249">
        <v>46290</v>
      </c>
      <c r="Q308" s="254"/>
      <c r="R308" s="209" t="str">
        <f t="shared" si="5"/>
        <v/>
      </c>
      <c r="S308" s="187"/>
    </row>
    <row r="309" spans="1:27" ht="18" customHeight="1">
      <c r="A309" s="230">
        <v>39317</v>
      </c>
      <c r="B309" s="231">
        <v>73220</v>
      </c>
      <c r="C309" s="187" t="s">
        <v>213</v>
      </c>
      <c r="D309" s="230">
        <v>2</v>
      </c>
      <c r="E309" s="232">
        <v>700759355</v>
      </c>
      <c r="F309" s="230" t="s">
        <v>676</v>
      </c>
      <c r="G309" s="187" t="s">
        <v>541</v>
      </c>
      <c r="H309" s="250">
        <v>46154</v>
      </c>
      <c r="I309" s="207" t="s">
        <v>712</v>
      </c>
      <c r="J309" s="187" t="s">
        <v>711</v>
      </c>
      <c r="K309" s="235">
        <v>8315</v>
      </c>
      <c r="L309" s="207" t="s">
        <v>729</v>
      </c>
      <c r="M309" s="237"/>
      <c r="N309" s="207"/>
      <c r="O309" s="239"/>
      <c r="P309" s="249">
        <v>46203</v>
      </c>
      <c r="Q309" s="254"/>
      <c r="R309" s="209" t="str">
        <f t="shared" si="5"/>
        <v/>
      </c>
      <c r="S309" s="187"/>
      <c r="AA309" s="230">
        <v>1584</v>
      </c>
    </row>
    <row r="310" spans="1:27" ht="18" customHeight="1">
      <c r="A310" s="230"/>
      <c r="B310" s="231"/>
      <c r="C310" s="187"/>
      <c r="D310" s="230"/>
      <c r="E310" s="232"/>
      <c r="F310" s="230"/>
      <c r="G310" s="187"/>
      <c r="H310" s="250"/>
      <c r="J310" s="187"/>
      <c r="M310" s="237"/>
      <c r="N310" s="207"/>
      <c r="O310" s="239"/>
      <c r="P310" s="249"/>
      <c r="Q310" s="254"/>
      <c r="R310" s="209" t="str">
        <f t="shared" si="5"/>
        <v/>
      </c>
      <c r="S310" s="187"/>
    </row>
    <row r="311" spans="1:27" ht="18" customHeight="1">
      <c r="A311" s="237" t="s">
        <v>266</v>
      </c>
      <c r="B311" s="231">
        <v>73221</v>
      </c>
      <c r="C311" s="187" t="s">
        <v>48</v>
      </c>
      <c r="D311" s="230">
        <v>4</v>
      </c>
      <c r="E311" s="232" t="s">
        <v>650</v>
      </c>
      <c r="F311" s="230"/>
      <c r="G311" s="187" t="s">
        <v>658</v>
      </c>
      <c r="H311" s="250">
        <v>46155</v>
      </c>
      <c r="I311" s="207">
        <v>1</v>
      </c>
      <c r="J311" s="187" t="s">
        <v>713</v>
      </c>
      <c r="L311" s="207" t="s">
        <v>350</v>
      </c>
      <c r="M311" s="237"/>
      <c r="N311" s="207"/>
      <c r="O311" s="239"/>
      <c r="P311" s="249">
        <v>46157</v>
      </c>
      <c r="Q311" s="254"/>
      <c r="R311" s="209" t="str">
        <f t="shared" si="5"/>
        <v/>
      </c>
      <c r="S311" s="187"/>
      <c r="AA311" s="230">
        <v>1586</v>
      </c>
    </row>
    <row r="312" spans="1:27" ht="18" customHeight="1">
      <c r="A312" s="230"/>
      <c r="B312" s="231"/>
      <c r="C312" s="187"/>
      <c r="D312" s="230"/>
      <c r="E312" s="232"/>
      <c r="F312" s="230"/>
      <c r="G312" s="187"/>
      <c r="H312" s="250"/>
      <c r="J312" s="187"/>
      <c r="M312" s="237"/>
      <c r="N312" s="207"/>
      <c r="O312" s="239"/>
      <c r="P312" s="249"/>
      <c r="Q312" s="254"/>
      <c r="R312" s="209" t="str">
        <f t="shared" si="5"/>
        <v/>
      </c>
      <c r="S312" s="187"/>
    </row>
    <row r="313" spans="1:27" ht="18" customHeight="1">
      <c r="A313" s="230">
        <v>39319</v>
      </c>
      <c r="B313" s="231">
        <v>73223</v>
      </c>
      <c r="C313" s="187" t="s">
        <v>32</v>
      </c>
      <c r="D313" s="230">
        <v>2</v>
      </c>
      <c r="E313" s="232" t="s">
        <v>717</v>
      </c>
      <c r="F313" s="230"/>
      <c r="G313" s="187" t="s">
        <v>542</v>
      </c>
      <c r="H313" s="250">
        <v>46157</v>
      </c>
      <c r="I313" s="207">
        <v>1</v>
      </c>
      <c r="J313" s="187" t="s">
        <v>715</v>
      </c>
      <c r="M313" s="237"/>
      <c r="N313" s="207"/>
      <c r="O313" s="239"/>
      <c r="P313" s="249">
        <v>46164</v>
      </c>
      <c r="Q313" s="254"/>
      <c r="R313" s="209" t="str">
        <f t="shared" si="5"/>
        <v/>
      </c>
      <c r="S313" s="187"/>
    </row>
    <row r="314" spans="1:27" ht="18" customHeight="1">
      <c r="A314" s="230">
        <v>39319</v>
      </c>
      <c r="B314" s="231">
        <v>73223</v>
      </c>
      <c r="C314" s="187" t="s">
        <v>32</v>
      </c>
      <c r="D314" s="230">
        <v>2</v>
      </c>
      <c r="E314" s="232" t="s">
        <v>718</v>
      </c>
      <c r="F314" s="230"/>
      <c r="G314" s="187" t="s">
        <v>542</v>
      </c>
      <c r="H314" s="250">
        <v>46157</v>
      </c>
      <c r="I314" s="207">
        <v>2</v>
      </c>
      <c r="J314" s="187" t="s">
        <v>716</v>
      </c>
      <c r="M314" s="237"/>
      <c r="N314" s="207"/>
      <c r="O314" s="239"/>
      <c r="P314" s="249">
        <v>46164</v>
      </c>
      <c r="Q314" s="254"/>
      <c r="R314" s="209" t="str">
        <f t="shared" si="5"/>
        <v/>
      </c>
      <c r="S314" s="187"/>
    </row>
    <row r="315" spans="1:27" ht="18" customHeight="1">
      <c r="A315" s="230"/>
      <c r="B315" s="231"/>
      <c r="C315" s="187"/>
      <c r="D315" s="230"/>
      <c r="E315" s="232"/>
      <c r="F315" s="230"/>
      <c r="G315" s="187"/>
      <c r="H315" s="250"/>
      <c r="J315" s="187"/>
      <c r="M315" s="237"/>
      <c r="N315" s="207"/>
      <c r="O315" s="239"/>
      <c r="P315" s="249"/>
      <c r="Q315" s="254"/>
      <c r="R315" s="209" t="str">
        <f t="shared" si="5"/>
        <v/>
      </c>
      <c r="S315" s="187"/>
    </row>
    <row r="316" spans="1:27" ht="18" customHeight="1">
      <c r="A316" s="230">
        <v>39320</v>
      </c>
      <c r="B316" s="231">
        <v>73224</v>
      </c>
      <c r="C316" s="187" t="s">
        <v>32</v>
      </c>
      <c r="D316" s="230">
        <v>1</v>
      </c>
      <c r="E316" s="395" t="s">
        <v>723</v>
      </c>
      <c r="F316" s="230"/>
      <c r="G316" s="187" t="s">
        <v>542</v>
      </c>
      <c r="H316" s="250">
        <v>46157</v>
      </c>
      <c r="I316" s="207">
        <v>1</v>
      </c>
      <c r="J316" s="187" t="s">
        <v>719</v>
      </c>
      <c r="M316" s="237"/>
      <c r="N316" s="207"/>
      <c r="O316" s="239"/>
      <c r="P316" s="249">
        <v>46171</v>
      </c>
      <c r="Q316" s="254"/>
      <c r="R316" s="209" t="str">
        <f t="shared" si="5"/>
        <v/>
      </c>
      <c r="S316" s="187"/>
      <c r="AA316" s="230">
        <v>1587</v>
      </c>
    </row>
    <row r="317" spans="1:27" ht="18" customHeight="1">
      <c r="A317" s="230"/>
      <c r="B317" s="231"/>
      <c r="C317" s="187"/>
      <c r="D317" s="230"/>
      <c r="E317" s="232"/>
      <c r="F317" s="230"/>
      <c r="G317" s="187"/>
      <c r="H317" s="250"/>
      <c r="J317" s="187"/>
      <c r="M317" s="237"/>
      <c r="N317" s="207"/>
      <c r="O317" s="239"/>
      <c r="P317" s="249"/>
      <c r="Q317" s="254"/>
      <c r="R317" s="209" t="str">
        <f t="shared" si="5"/>
        <v/>
      </c>
      <c r="S317" s="187"/>
      <c r="AA317" s="230">
        <v>1588</v>
      </c>
    </row>
    <row r="318" spans="1:27" ht="18" customHeight="1">
      <c r="A318" s="230">
        <v>39326</v>
      </c>
      <c r="B318" s="231">
        <v>73233</v>
      </c>
      <c r="C318" s="187" t="s">
        <v>213</v>
      </c>
      <c r="D318" s="230">
        <v>2</v>
      </c>
      <c r="E318" s="232">
        <v>125808661</v>
      </c>
      <c r="F318" s="230" t="s">
        <v>720</v>
      </c>
      <c r="G318" s="187" t="s">
        <v>681</v>
      </c>
      <c r="H318" s="250">
        <v>46161</v>
      </c>
      <c r="I318" s="207">
        <v>1</v>
      </c>
      <c r="J318" s="187" t="s">
        <v>721</v>
      </c>
      <c r="K318" s="235">
        <v>6360</v>
      </c>
      <c r="L318" s="207" t="s">
        <v>722</v>
      </c>
      <c r="M318" s="237"/>
      <c r="N318" s="207"/>
      <c r="O318" s="239"/>
      <c r="P318" s="249">
        <v>46212</v>
      </c>
      <c r="Q318" s="254"/>
      <c r="R318" s="209" t="str">
        <f t="shared" si="5"/>
        <v/>
      </c>
      <c r="S318" s="187"/>
      <c r="AA318" s="230">
        <v>1591</v>
      </c>
    </row>
    <row r="319" spans="1:27" ht="18" customHeight="1">
      <c r="A319" s="230"/>
      <c r="B319" s="231"/>
      <c r="C319" s="187"/>
      <c r="D319" s="230"/>
      <c r="E319" s="232"/>
      <c r="F319" s="230"/>
      <c r="G319" s="187"/>
      <c r="H319" s="250"/>
      <c r="J319" s="187"/>
      <c r="M319" s="237"/>
      <c r="N319" s="207"/>
      <c r="O319" s="239"/>
      <c r="P319" s="249"/>
      <c r="Q319" s="254"/>
      <c r="R319" s="209" t="str">
        <f t="shared" si="5"/>
        <v/>
      </c>
      <c r="S319" s="187"/>
      <c r="AA319" s="230">
        <v>1592</v>
      </c>
    </row>
    <row r="320" spans="1:27" ht="18" customHeight="1">
      <c r="A320" s="230">
        <v>39327</v>
      </c>
      <c r="B320" s="231">
        <v>73234</v>
      </c>
      <c r="C320" s="187" t="s">
        <v>47</v>
      </c>
      <c r="D320" s="230">
        <v>2</v>
      </c>
      <c r="E320" s="396" t="s">
        <v>724</v>
      </c>
      <c r="F320" s="230"/>
      <c r="G320" s="187" t="s">
        <v>673</v>
      </c>
      <c r="H320" s="250">
        <v>46162</v>
      </c>
      <c r="I320" s="207">
        <v>1</v>
      </c>
      <c r="J320" s="187" t="s">
        <v>725</v>
      </c>
      <c r="K320" s="235">
        <v>1214</v>
      </c>
      <c r="M320" s="237"/>
      <c r="N320" s="207"/>
      <c r="O320" s="239"/>
      <c r="P320" s="249">
        <v>46168</v>
      </c>
      <c r="Q320" s="254"/>
      <c r="R320" s="209" t="str">
        <f t="shared" si="5"/>
        <v/>
      </c>
      <c r="S320" s="187"/>
      <c r="AA320" s="230">
        <v>1593</v>
      </c>
    </row>
    <row r="321" spans="1:27" ht="18" customHeight="1">
      <c r="A321" s="230"/>
      <c r="B321" s="231"/>
      <c r="C321" s="187"/>
      <c r="D321" s="230"/>
      <c r="E321" s="232"/>
      <c r="F321" s="230"/>
      <c r="G321" s="187"/>
      <c r="H321" s="250"/>
      <c r="J321" s="187"/>
      <c r="M321" s="237"/>
      <c r="N321" s="207"/>
      <c r="O321" s="239"/>
      <c r="P321" s="249"/>
      <c r="Q321" s="254"/>
      <c r="R321" s="209" t="str">
        <f t="shared" si="5"/>
        <v/>
      </c>
      <c r="S321" s="187"/>
      <c r="AA321" s="230">
        <v>1594</v>
      </c>
    </row>
    <row r="322" spans="1:27" ht="18" customHeight="1">
      <c r="A322" s="230">
        <v>39329</v>
      </c>
      <c r="B322" s="231">
        <v>73236</v>
      </c>
      <c r="C322" s="187" t="s">
        <v>213</v>
      </c>
      <c r="D322" s="230">
        <v>2</v>
      </c>
      <c r="E322" s="232">
        <v>700741597</v>
      </c>
      <c r="F322" s="230" t="s">
        <v>669</v>
      </c>
      <c r="G322" s="187" t="s">
        <v>541</v>
      </c>
      <c r="H322" s="250">
        <v>46168</v>
      </c>
      <c r="I322" s="207" t="s">
        <v>670</v>
      </c>
      <c r="J322" s="187" t="s">
        <v>731</v>
      </c>
      <c r="K322" s="235">
        <v>14461</v>
      </c>
      <c r="L322" s="207" t="s">
        <v>732</v>
      </c>
      <c r="M322" s="237"/>
      <c r="N322" s="207"/>
      <c r="O322" s="239"/>
      <c r="P322" s="249">
        <v>46233</v>
      </c>
      <c r="Q322" s="254"/>
      <c r="R322" s="209" t="str">
        <f t="shared" si="5"/>
        <v/>
      </c>
      <c r="S322" s="187"/>
    </row>
    <row r="323" spans="1:27" ht="18" customHeight="1">
      <c r="A323" s="230">
        <v>39329</v>
      </c>
      <c r="B323" s="231">
        <v>73236</v>
      </c>
      <c r="C323" s="187" t="s">
        <v>213</v>
      </c>
      <c r="D323" s="230">
        <v>1</v>
      </c>
      <c r="E323" s="232">
        <v>700741597</v>
      </c>
      <c r="F323" s="230" t="s">
        <v>669</v>
      </c>
      <c r="G323" s="187" t="s">
        <v>541</v>
      </c>
      <c r="H323" s="250">
        <v>46168</v>
      </c>
      <c r="I323" s="207">
        <v>3</v>
      </c>
      <c r="J323" s="187" t="s">
        <v>733</v>
      </c>
      <c r="K323" s="235">
        <v>14161</v>
      </c>
      <c r="L323" s="207" t="s">
        <v>732</v>
      </c>
      <c r="M323" s="237"/>
      <c r="N323" s="207"/>
      <c r="O323" s="239"/>
      <c r="P323" s="249">
        <v>46238</v>
      </c>
      <c r="Q323" s="254"/>
      <c r="R323" s="209" t="str">
        <f t="shared" si="5"/>
        <v/>
      </c>
      <c r="S323" s="187"/>
      <c r="AA323" s="230">
        <v>1596</v>
      </c>
    </row>
    <row r="324" spans="1:27" ht="18" customHeight="1">
      <c r="A324" s="230">
        <v>39329</v>
      </c>
      <c r="B324" s="231">
        <v>73237</v>
      </c>
      <c r="C324" s="187" t="s">
        <v>213</v>
      </c>
      <c r="D324" s="230">
        <v>2</v>
      </c>
      <c r="E324" s="232">
        <v>700821111</v>
      </c>
      <c r="F324" s="230" t="s">
        <v>669</v>
      </c>
      <c r="G324" s="187" t="s">
        <v>541</v>
      </c>
      <c r="H324" s="250">
        <v>46168</v>
      </c>
      <c r="I324" s="207" t="s">
        <v>734</v>
      </c>
      <c r="J324" s="187" t="s">
        <v>735</v>
      </c>
      <c r="K324" s="235">
        <v>3956</v>
      </c>
      <c r="L324" s="207" t="s">
        <v>732</v>
      </c>
      <c r="M324" s="237"/>
      <c r="N324" s="207"/>
      <c r="O324" s="239"/>
      <c r="P324" s="249">
        <v>46233</v>
      </c>
      <c r="Q324" s="254"/>
      <c r="R324" s="209" t="str">
        <f t="shared" ref="R324:R355" si="6">IF(SUM(Q324)&gt;0,SUM(Q324-P324),"")</f>
        <v/>
      </c>
      <c r="S324" s="187"/>
      <c r="AA324" s="230">
        <v>1597</v>
      </c>
    </row>
    <row r="325" spans="1:27" ht="18" customHeight="1">
      <c r="A325" s="230">
        <v>39329</v>
      </c>
      <c r="B325" s="231">
        <v>73237</v>
      </c>
      <c r="C325" s="187" t="s">
        <v>213</v>
      </c>
      <c r="D325" s="230">
        <v>1</v>
      </c>
      <c r="E325" s="232">
        <v>700821111</v>
      </c>
      <c r="F325" s="230" t="s">
        <v>669</v>
      </c>
      <c r="G325" s="187" t="s">
        <v>541</v>
      </c>
      <c r="H325" s="250">
        <v>46168</v>
      </c>
      <c r="I325" s="207">
        <v>5</v>
      </c>
      <c r="J325" s="187" t="s">
        <v>735</v>
      </c>
      <c r="K325" s="235">
        <v>3956</v>
      </c>
      <c r="L325" s="207" t="s">
        <v>732</v>
      </c>
      <c r="M325" s="237"/>
      <c r="N325" s="207"/>
      <c r="O325" s="239"/>
      <c r="P325" s="249">
        <v>46238</v>
      </c>
      <c r="Q325" s="254"/>
      <c r="R325" s="209" t="str">
        <f t="shared" si="6"/>
        <v/>
      </c>
      <c r="S325" s="187"/>
    </row>
    <row r="326" spans="1:27" ht="18" customHeight="1">
      <c r="A326" s="230"/>
      <c r="B326" s="231"/>
      <c r="C326" s="187"/>
      <c r="D326" s="230"/>
      <c r="E326" s="232"/>
      <c r="F326" s="230"/>
      <c r="G326" s="187"/>
      <c r="H326" s="250"/>
      <c r="J326" s="187"/>
      <c r="M326" s="237"/>
      <c r="N326" s="207"/>
      <c r="O326" s="239"/>
      <c r="P326" s="249"/>
      <c r="Q326" s="254"/>
      <c r="R326" s="209" t="str">
        <f t="shared" si="6"/>
        <v/>
      </c>
      <c r="S326" s="187"/>
      <c r="AA326" s="230">
        <v>1598</v>
      </c>
    </row>
    <row r="327" spans="1:27" ht="18" customHeight="1">
      <c r="A327" s="230">
        <v>39330</v>
      </c>
      <c r="B327" s="231">
        <v>73238</v>
      </c>
      <c r="C327" s="187" t="s">
        <v>41</v>
      </c>
      <c r="D327" s="230">
        <v>2</v>
      </c>
      <c r="E327" s="232" t="s">
        <v>737</v>
      </c>
      <c r="F327" s="230">
        <v>2</v>
      </c>
      <c r="G327" s="187" t="s">
        <v>229</v>
      </c>
      <c r="H327" s="250">
        <v>46169</v>
      </c>
      <c r="I327" s="207">
        <v>2</v>
      </c>
      <c r="J327" s="187" t="s">
        <v>738</v>
      </c>
      <c r="K327" s="235">
        <v>660</v>
      </c>
      <c r="L327" s="207" t="s">
        <v>757</v>
      </c>
      <c r="M327" s="237"/>
      <c r="N327" s="207"/>
      <c r="O327" s="239"/>
      <c r="P327" s="249">
        <v>46220</v>
      </c>
      <c r="Q327" s="254"/>
      <c r="R327" s="209" t="str">
        <f t="shared" si="6"/>
        <v/>
      </c>
      <c r="S327" s="187"/>
    </row>
    <row r="328" spans="1:27" ht="18" customHeight="1">
      <c r="A328" s="230">
        <v>39330</v>
      </c>
      <c r="B328" s="231">
        <v>73239</v>
      </c>
      <c r="C328" s="187" t="s">
        <v>41</v>
      </c>
      <c r="D328" s="230">
        <v>2</v>
      </c>
      <c r="E328" s="232" t="s">
        <v>739</v>
      </c>
      <c r="F328" s="230">
        <v>2</v>
      </c>
      <c r="G328" s="187" t="s">
        <v>229</v>
      </c>
      <c r="H328" s="250">
        <v>46169</v>
      </c>
      <c r="I328" s="207">
        <v>3</v>
      </c>
      <c r="J328" s="187" t="s">
        <v>740</v>
      </c>
      <c r="K328" s="235">
        <v>660</v>
      </c>
      <c r="L328" s="207" t="s">
        <v>757</v>
      </c>
      <c r="M328" s="237"/>
      <c r="N328" s="207"/>
      <c r="O328" s="239"/>
      <c r="P328" s="249">
        <v>46220</v>
      </c>
      <c r="Q328" s="254"/>
      <c r="R328" s="209" t="str">
        <f t="shared" si="6"/>
        <v/>
      </c>
      <c r="S328" s="187"/>
    </row>
    <row r="329" spans="1:27" ht="18" customHeight="1">
      <c r="A329" s="230">
        <v>39330</v>
      </c>
      <c r="B329" s="231">
        <v>73240</v>
      </c>
      <c r="C329" s="187" t="s">
        <v>41</v>
      </c>
      <c r="D329" s="230">
        <v>4</v>
      </c>
      <c r="E329" s="232" t="s">
        <v>741</v>
      </c>
      <c r="F329" s="230">
        <v>0</v>
      </c>
      <c r="G329" s="187" t="s">
        <v>229</v>
      </c>
      <c r="H329" s="250">
        <v>46169</v>
      </c>
      <c r="I329" s="207">
        <v>4</v>
      </c>
      <c r="J329" s="187" t="s">
        <v>742</v>
      </c>
      <c r="K329" s="235">
        <v>570</v>
      </c>
      <c r="L329" s="207" t="s">
        <v>757</v>
      </c>
      <c r="M329" s="237"/>
      <c r="N329" s="207"/>
      <c r="O329" s="239"/>
      <c r="P329" s="249">
        <v>46220</v>
      </c>
      <c r="Q329" s="254"/>
      <c r="R329" s="209" t="str">
        <f t="shared" si="6"/>
        <v/>
      </c>
      <c r="S329" s="187"/>
    </row>
    <row r="330" spans="1:27" ht="18" customHeight="1">
      <c r="A330" s="230">
        <v>39330</v>
      </c>
      <c r="B330" s="231">
        <v>73241</v>
      </c>
      <c r="C330" s="187" t="s">
        <v>41</v>
      </c>
      <c r="D330" s="230">
        <v>2</v>
      </c>
      <c r="E330" s="232" t="s">
        <v>743</v>
      </c>
      <c r="F330" s="230">
        <v>2</v>
      </c>
      <c r="G330" s="187" t="s">
        <v>229</v>
      </c>
      <c r="H330" s="250">
        <v>46169</v>
      </c>
      <c r="I330" s="207">
        <v>5</v>
      </c>
      <c r="J330" s="187" t="s">
        <v>744</v>
      </c>
      <c r="K330" s="235">
        <v>870</v>
      </c>
      <c r="L330" s="207" t="s">
        <v>757</v>
      </c>
      <c r="M330" s="237"/>
      <c r="N330" s="207"/>
      <c r="O330" s="239"/>
      <c r="P330" s="249">
        <v>46220</v>
      </c>
      <c r="Q330" s="254"/>
      <c r="R330" s="209" t="str">
        <f t="shared" si="6"/>
        <v/>
      </c>
      <c r="S330" s="187"/>
      <c r="AA330" s="230">
        <v>1599</v>
      </c>
    </row>
    <row r="331" spans="1:27" ht="18" customHeight="1">
      <c r="A331" s="230">
        <v>39330</v>
      </c>
      <c r="B331" s="231">
        <v>73242</v>
      </c>
      <c r="C331" s="187" t="s">
        <v>41</v>
      </c>
      <c r="D331" s="230">
        <v>2</v>
      </c>
      <c r="E331" s="232" t="s">
        <v>745</v>
      </c>
      <c r="F331" s="230">
        <v>0</v>
      </c>
      <c r="G331" s="187" t="s">
        <v>229</v>
      </c>
      <c r="H331" s="250">
        <v>46169</v>
      </c>
      <c r="I331" s="207">
        <v>6</v>
      </c>
      <c r="J331" s="187" t="s">
        <v>746</v>
      </c>
      <c r="K331" s="235">
        <v>1950</v>
      </c>
      <c r="L331" s="207" t="s">
        <v>757</v>
      </c>
      <c r="M331" s="237"/>
      <c r="N331" s="207"/>
      <c r="O331" s="239"/>
      <c r="P331" s="249">
        <v>46220</v>
      </c>
      <c r="Q331" s="254"/>
      <c r="R331" s="209" t="str">
        <f t="shared" si="6"/>
        <v/>
      </c>
      <c r="S331" s="187"/>
    </row>
    <row r="332" spans="1:27" ht="18" customHeight="1">
      <c r="A332" s="230">
        <v>39330</v>
      </c>
      <c r="B332" s="231">
        <v>73243</v>
      </c>
      <c r="C332" s="187" t="s">
        <v>41</v>
      </c>
      <c r="D332" s="230">
        <v>2</v>
      </c>
      <c r="E332" s="232" t="s">
        <v>747</v>
      </c>
      <c r="F332" s="230">
        <v>1</v>
      </c>
      <c r="G332" s="187" t="s">
        <v>229</v>
      </c>
      <c r="H332" s="250">
        <v>46169</v>
      </c>
      <c r="I332" s="207">
        <v>7</v>
      </c>
      <c r="J332" s="187" t="s">
        <v>748</v>
      </c>
      <c r="K332" s="235">
        <v>675</v>
      </c>
      <c r="L332" s="207" t="s">
        <v>757</v>
      </c>
      <c r="M332" s="237"/>
      <c r="N332" s="207"/>
      <c r="O332" s="239"/>
      <c r="P332" s="249">
        <v>46220</v>
      </c>
      <c r="Q332" s="254"/>
      <c r="R332" s="209" t="str">
        <f t="shared" si="6"/>
        <v/>
      </c>
      <c r="S332" s="187"/>
      <c r="AA332" s="230">
        <v>1600</v>
      </c>
    </row>
    <row r="333" spans="1:27" ht="18" customHeight="1">
      <c r="A333" s="230">
        <v>39330</v>
      </c>
      <c r="B333" s="231">
        <v>73244</v>
      </c>
      <c r="C333" s="187" t="s">
        <v>41</v>
      </c>
      <c r="D333" s="230">
        <v>2</v>
      </c>
      <c r="E333" s="232" t="s">
        <v>749</v>
      </c>
      <c r="F333" s="230">
        <v>2</v>
      </c>
      <c r="G333" s="187" t="s">
        <v>229</v>
      </c>
      <c r="H333" s="250">
        <v>46169</v>
      </c>
      <c r="I333" s="207">
        <v>8</v>
      </c>
      <c r="J333" s="187">
        <v>0</v>
      </c>
      <c r="K333" s="235">
        <v>675</v>
      </c>
      <c r="L333" s="207" t="s">
        <v>757</v>
      </c>
      <c r="M333" s="237"/>
      <c r="N333" s="207"/>
      <c r="O333" s="239"/>
      <c r="P333" s="249">
        <v>46220</v>
      </c>
      <c r="Q333" s="254"/>
      <c r="R333" s="209" t="str">
        <f t="shared" si="6"/>
        <v/>
      </c>
      <c r="S333" s="187"/>
      <c r="AA333" s="230">
        <v>1601</v>
      </c>
    </row>
    <row r="334" spans="1:27" ht="18" customHeight="1">
      <c r="A334" s="230">
        <v>39330</v>
      </c>
      <c r="B334" s="231">
        <v>73245</v>
      </c>
      <c r="C334" s="187" t="s">
        <v>41</v>
      </c>
      <c r="D334" s="230">
        <v>1</v>
      </c>
      <c r="E334" s="232" t="s">
        <v>750</v>
      </c>
      <c r="F334" s="230">
        <v>2</v>
      </c>
      <c r="G334" s="187" t="s">
        <v>229</v>
      </c>
      <c r="H334" s="250">
        <v>46169</v>
      </c>
      <c r="I334" s="207">
        <v>9</v>
      </c>
      <c r="J334" s="187" t="s">
        <v>751</v>
      </c>
      <c r="K334" s="235">
        <v>1028</v>
      </c>
      <c r="L334" s="207" t="s">
        <v>757</v>
      </c>
      <c r="M334" s="237"/>
      <c r="N334" s="207"/>
      <c r="O334" s="239"/>
      <c r="P334" s="249">
        <v>46220</v>
      </c>
      <c r="Q334" s="254"/>
      <c r="R334" s="209" t="str">
        <f t="shared" si="6"/>
        <v/>
      </c>
      <c r="S334" s="187"/>
    </row>
    <row r="335" spans="1:27" ht="18" customHeight="1">
      <c r="A335" s="230">
        <v>39330</v>
      </c>
      <c r="B335" s="231">
        <v>73246</v>
      </c>
      <c r="C335" s="187" t="s">
        <v>41</v>
      </c>
      <c r="D335" s="230">
        <v>1</v>
      </c>
      <c r="E335" s="232" t="s">
        <v>752</v>
      </c>
      <c r="F335" s="230">
        <v>2</v>
      </c>
      <c r="G335" s="187" t="s">
        <v>229</v>
      </c>
      <c r="H335" s="250">
        <v>46169</v>
      </c>
      <c r="I335" s="207">
        <v>10</v>
      </c>
      <c r="J335" s="187" t="s">
        <v>753</v>
      </c>
      <c r="K335" s="235">
        <v>815</v>
      </c>
      <c r="L335" s="207" t="s">
        <v>757</v>
      </c>
      <c r="M335" s="237"/>
      <c r="N335" s="207"/>
      <c r="O335" s="239"/>
      <c r="P335" s="249">
        <v>46220</v>
      </c>
      <c r="Q335" s="254"/>
      <c r="R335" s="209" t="str">
        <f t="shared" si="6"/>
        <v/>
      </c>
      <c r="S335" s="187"/>
      <c r="AA335" s="230">
        <v>1602</v>
      </c>
    </row>
    <row r="336" spans="1:27" ht="18" customHeight="1">
      <c r="A336" s="230"/>
      <c r="B336" s="231"/>
      <c r="C336" s="187"/>
      <c r="D336" s="230"/>
      <c r="E336" s="232"/>
      <c r="F336" s="230"/>
      <c r="G336" s="187"/>
      <c r="H336" s="250"/>
      <c r="J336" s="187"/>
      <c r="M336" s="237"/>
      <c r="N336" s="207"/>
      <c r="O336" s="239"/>
      <c r="P336" s="249"/>
      <c r="Q336" s="254"/>
      <c r="R336" s="209" t="str">
        <f t="shared" si="6"/>
        <v/>
      </c>
      <c r="S336" s="187"/>
      <c r="AA336" s="230">
        <v>1603</v>
      </c>
    </row>
    <row r="337" spans="1:27" ht="18" customHeight="1">
      <c r="A337" s="230">
        <v>39331</v>
      </c>
      <c r="B337" s="231">
        <v>73247</v>
      </c>
      <c r="C337" s="187" t="s">
        <v>41</v>
      </c>
      <c r="D337" s="230">
        <v>6</v>
      </c>
      <c r="E337" s="232" t="s">
        <v>664</v>
      </c>
      <c r="F337" s="230">
        <v>2</v>
      </c>
      <c r="G337" s="266" t="s">
        <v>265</v>
      </c>
      <c r="H337" s="250">
        <v>46169</v>
      </c>
      <c r="I337" s="207">
        <v>1</v>
      </c>
      <c r="J337" s="187" t="s">
        <v>758</v>
      </c>
      <c r="K337" s="235">
        <v>1214</v>
      </c>
      <c r="L337" s="207" t="s">
        <v>759</v>
      </c>
      <c r="M337" s="237"/>
      <c r="N337" s="207"/>
      <c r="O337" s="239"/>
      <c r="P337" s="249">
        <v>46238</v>
      </c>
      <c r="Q337" s="254"/>
      <c r="R337" s="209" t="str">
        <f t="shared" si="6"/>
        <v/>
      </c>
      <c r="S337" s="187"/>
      <c r="AA337" s="230">
        <v>1604</v>
      </c>
    </row>
    <row r="338" spans="1:27" ht="18" customHeight="1">
      <c r="A338" s="230">
        <v>39331</v>
      </c>
      <c r="B338" s="231">
        <v>73248</v>
      </c>
      <c r="C338" s="187" t="s">
        <v>41</v>
      </c>
      <c r="D338" s="230">
        <v>1</v>
      </c>
      <c r="E338" s="232" t="s">
        <v>666</v>
      </c>
      <c r="F338" s="230">
        <v>2</v>
      </c>
      <c r="G338" s="266" t="s">
        <v>265</v>
      </c>
      <c r="H338" s="250">
        <v>46169</v>
      </c>
      <c r="I338" s="207">
        <v>2</v>
      </c>
      <c r="J338" s="187" t="s">
        <v>667</v>
      </c>
      <c r="K338" s="235">
        <v>1930</v>
      </c>
      <c r="L338" s="207" t="s">
        <v>759</v>
      </c>
      <c r="M338" s="237"/>
      <c r="N338" s="207"/>
      <c r="O338" s="239"/>
      <c r="P338" s="249">
        <v>46238</v>
      </c>
      <c r="Q338" s="254"/>
      <c r="R338" s="209" t="str">
        <f t="shared" si="6"/>
        <v/>
      </c>
      <c r="S338" s="187"/>
    </row>
    <row r="339" spans="1:27" ht="18" customHeight="1">
      <c r="A339" s="230"/>
      <c r="B339" s="231"/>
      <c r="C339" s="187"/>
      <c r="D339" s="230"/>
      <c r="E339" s="232"/>
      <c r="F339" s="230"/>
      <c r="G339" s="187"/>
      <c r="H339" s="250"/>
      <c r="J339" s="187"/>
      <c r="M339" s="237"/>
      <c r="N339" s="207"/>
      <c r="O339" s="239"/>
      <c r="P339" s="249"/>
      <c r="Q339" s="254"/>
      <c r="R339" s="209" t="str">
        <f t="shared" si="6"/>
        <v/>
      </c>
      <c r="S339" s="187"/>
      <c r="AA339" s="230">
        <v>1605</v>
      </c>
    </row>
    <row r="340" spans="1:27" ht="18" customHeight="1">
      <c r="A340" s="230">
        <v>39332</v>
      </c>
      <c r="B340" s="231">
        <v>73249</v>
      </c>
      <c r="C340" s="187" t="s">
        <v>213</v>
      </c>
      <c r="D340" s="230">
        <v>2</v>
      </c>
      <c r="E340" s="232">
        <v>700741225</v>
      </c>
      <c r="F340" s="237" t="s">
        <v>669</v>
      </c>
      <c r="G340" s="187" t="s">
        <v>760</v>
      </c>
      <c r="H340" s="250">
        <v>46169</v>
      </c>
      <c r="I340" s="207">
        <v>1</v>
      </c>
      <c r="J340" s="187" t="s">
        <v>761</v>
      </c>
      <c r="K340" s="235">
        <v>12978</v>
      </c>
      <c r="L340" s="207" t="s">
        <v>792</v>
      </c>
      <c r="M340" s="237"/>
      <c r="N340" s="207"/>
      <c r="O340" s="239"/>
      <c r="P340" s="249">
        <v>46223</v>
      </c>
      <c r="Q340" s="254"/>
      <c r="R340" s="209" t="str">
        <f t="shared" si="6"/>
        <v/>
      </c>
      <c r="S340" s="187"/>
      <c r="AA340" s="230">
        <v>1606</v>
      </c>
    </row>
    <row r="341" spans="1:27" ht="18" customHeight="1">
      <c r="A341" s="230"/>
      <c r="B341" s="231"/>
      <c r="C341" s="187"/>
      <c r="D341" s="230"/>
      <c r="E341" s="232"/>
      <c r="F341" s="230"/>
      <c r="G341" s="187"/>
      <c r="H341" s="250"/>
      <c r="J341" s="187"/>
      <c r="M341" s="237"/>
      <c r="N341" s="207"/>
      <c r="O341" s="239"/>
      <c r="P341" s="249"/>
      <c r="Q341" s="254"/>
      <c r="R341" s="209" t="str">
        <f t="shared" si="6"/>
        <v/>
      </c>
      <c r="S341" s="187"/>
    </row>
    <row r="342" spans="1:27" ht="18" customHeight="1">
      <c r="A342" s="230">
        <v>39334</v>
      </c>
      <c r="B342" s="231">
        <v>73252</v>
      </c>
      <c r="C342" s="187" t="s">
        <v>0</v>
      </c>
      <c r="D342" s="230">
        <v>2</v>
      </c>
      <c r="E342" s="232" t="s">
        <v>238</v>
      </c>
      <c r="F342" s="230"/>
      <c r="G342" s="187" t="s">
        <v>228</v>
      </c>
      <c r="H342" s="250">
        <v>46177</v>
      </c>
      <c r="I342" s="207">
        <v>1</v>
      </c>
      <c r="J342" s="187" t="s">
        <v>763</v>
      </c>
      <c r="M342" s="237"/>
      <c r="N342" s="207"/>
      <c r="O342" s="239"/>
      <c r="P342" s="249">
        <v>46185</v>
      </c>
      <c r="Q342" s="254"/>
      <c r="R342" s="209" t="str">
        <f t="shared" si="6"/>
        <v/>
      </c>
      <c r="S342" s="187"/>
      <c r="AA342" s="230">
        <v>1607</v>
      </c>
    </row>
    <row r="343" spans="1:27" ht="18" customHeight="1">
      <c r="A343" s="230"/>
      <c r="B343" s="231"/>
      <c r="C343" s="187"/>
      <c r="D343" s="230"/>
      <c r="E343" s="232"/>
      <c r="F343" s="230"/>
      <c r="G343" s="187"/>
      <c r="H343" s="250"/>
      <c r="J343" s="187"/>
      <c r="M343" s="237"/>
      <c r="N343" s="207"/>
      <c r="O343" s="239"/>
      <c r="P343" s="249"/>
      <c r="Q343" s="254"/>
      <c r="R343" s="209" t="str">
        <f t="shared" si="6"/>
        <v/>
      </c>
      <c r="S343" s="187"/>
      <c r="AA343" s="230">
        <v>1608</v>
      </c>
    </row>
    <row r="344" spans="1:27" ht="18" customHeight="1">
      <c r="A344" s="230">
        <v>39335</v>
      </c>
      <c r="B344" s="231">
        <v>73253</v>
      </c>
      <c r="C344" s="187" t="s">
        <v>774</v>
      </c>
      <c r="D344" s="230">
        <v>2</v>
      </c>
      <c r="E344" s="232" t="s">
        <v>764</v>
      </c>
      <c r="F344" s="230"/>
      <c r="G344" s="187" t="s">
        <v>765</v>
      </c>
      <c r="H344" s="250">
        <v>46177</v>
      </c>
      <c r="I344" s="207">
        <v>10</v>
      </c>
      <c r="J344" s="187" t="s">
        <v>766</v>
      </c>
      <c r="K344" s="235">
        <v>14948</v>
      </c>
      <c r="L344" s="207">
        <v>280110756</v>
      </c>
      <c r="M344" s="237"/>
      <c r="N344" s="207"/>
      <c r="O344" s="239"/>
      <c r="P344" s="249">
        <v>46232</v>
      </c>
      <c r="Q344" s="254"/>
      <c r="R344" s="209" t="str">
        <f t="shared" si="6"/>
        <v/>
      </c>
      <c r="S344" s="187"/>
    </row>
    <row r="345" spans="1:27" ht="18" customHeight="1">
      <c r="A345" s="230"/>
      <c r="B345" s="231"/>
      <c r="C345" s="187"/>
      <c r="D345" s="230"/>
      <c r="E345" s="232"/>
      <c r="F345" s="230"/>
      <c r="G345" s="187"/>
      <c r="H345" s="250"/>
      <c r="J345" s="187"/>
      <c r="M345" s="237"/>
      <c r="N345" s="207"/>
      <c r="O345" s="239"/>
      <c r="P345" s="249"/>
      <c r="Q345" s="254"/>
      <c r="R345" s="209" t="str">
        <f t="shared" si="6"/>
        <v/>
      </c>
      <c r="S345" s="187"/>
      <c r="AA345" s="230">
        <v>1610</v>
      </c>
    </row>
    <row r="346" spans="1:27" ht="18" customHeight="1">
      <c r="A346" s="230">
        <v>39336</v>
      </c>
      <c r="B346" s="231">
        <v>73254</v>
      </c>
      <c r="C346" s="187" t="s">
        <v>4</v>
      </c>
      <c r="D346" s="230">
        <v>1</v>
      </c>
      <c r="E346" s="232" t="s">
        <v>767</v>
      </c>
      <c r="F346" s="230"/>
      <c r="G346" s="187" t="s">
        <v>768</v>
      </c>
      <c r="H346" s="250">
        <v>46177</v>
      </c>
      <c r="I346" s="207">
        <v>10</v>
      </c>
      <c r="J346" s="187" t="s">
        <v>769</v>
      </c>
      <c r="K346" s="235">
        <v>1875</v>
      </c>
      <c r="L346" s="207">
        <v>280110804</v>
      </c>
      <c r="M346" s="237">
        <v>45197</v>
      </c>
      <c r="N346" s="207">
        <v>1</v>
      </c>
      <c r="O346" s="239">
        <v>53436</v>
      </c>
      <c r="P346" s="326">
        <v>46198</v>
      </c>
      <c r="Q346" s="254">
        <v>46206</v>
      </c>
      <c r="R346" s="209">
        <f t="shared" si="6"/>
        <v>8</v>
      </c>
      <c r="S346" s="187"/>
      <c r="AA346" s="230">
        <v>1611</v>
      </c>
    </row>
    <row r="347" spans="1:27" ht="18" customHeight="1">
      <c r="A347" s="230">
        <v>39336</v>
      </c>
      <c r="B347" s="231">
        <v>73255</v>
      </c>
      <c r="C347" s="187" t="s">
        <v>4</v>
      </c>
      <c r="D347" s="230">
        <v>1</v>
      </c>
      <c r="E347" s="232" t="s">
        <v>770</v>
      </c>
      <c r="F347" s="230"/>
      <c r="G347" s="187" t="s">
        <v>768</v>
      </c>
      <c r="H347" s="250">
        <v>46177</v>
      </c>
      <c r="I347" s="207">
        <v>20</v>
      </c>
      <c r="J347" s="187" t="s">
        <v>771</v>
      </c>
      <c r="K347" s="235">
        <v>1637</v>
      </c>
      <c r="L347" s="207">
        <v>280110804</v>
      </c>
      <c r="M347" s="237">
        <v>45197</v>
      </c>
      <c r="N347" s="207">
        <v>1</v>
      </c>
      <c r="O347" s="239">
        <v>53436</v>
      </c>
      <c r="P347" s="326">
        <v>46198</v>
      </c>
      <c r="Q347" s="254">
        <v>46206</v>
      </c>
      <c r="R347" s="209">
        <f t="shared" si="6"/>
        <v>8</v>
      </c>
      <c r="S347" s="187"/>
      <c r="AA347" s="230">
        <v>1612</v>
      </c>
    </row>
    <row r="348" spans="1:27" ht="18" customHeight="1">
      <c r="A348" s="230">
        <v>39336</v>
      </c>
      <c r="B348" s="231">
        <v>73256</v>
      </c>
      <c r="C348" s="187" t="s">
        <v>4</v>
      </c>
      <c r="D348" s="230">
        <v>10</v>
      </c>
      <c r="E348" s="232" t="s">
        <v>772</v>
      </c>
      <c r="F348" s="230"/>
      <c r="G348" s="187" t="s">
        <v>768</v>
      </c>
      <c r="H348" s="250">
        <v>46177</v>
      </c>
      <c r="I348" s="207">
        <v>30</v>
      </c>
      <c r="J348" s="187" t="s">
        <v>773</v>
      </c>
      <c r="K348" s="235">
        <v>67</v>
      </c>
      <c r="L348" s="207">
        <v>280110804</v>
      </c>
      <c r="M348" s="237">
        <v>45197</v>
      </c>
      <c r="N348" s="207">
        <v>10</v>
      </c>
      <c r="O348" s="239">
        <v>53436</v>
      </c>
      <c r="P348" s="326">
        <v>46198</v>
      </c>
      <c r="Q348" s="254">
        <v>46206</v>
      </c>
      <c r="R348" s="209">
        <f t="shared" si="6"/>
        <v>8</v>
      </c>
      <c r="S348" s="187"/>
    </row>
    <row r="349" spans="1:27" ht="18" customHeight="1">
      <c r="A349" s="230"/>
      <c r="B349" s="231"/>
      <c r="C349" s="187"/>
      <c r="D349" s="230"/>
      <c r="E349" s="232"/>
      <c r="F349" s="230"/>
      <c r="G349" s="187"/>
      <c r="H349" s="250"/>
      <c r="J349" s="187"/>
      <c r="M349" s="237"/>
      <c r="N349" s="207"/>
      <c r="O349" s="239"/>
      <c r="P349" s="249"/>
      <c r="Q349" s="254"/>
      <c r="R349" s="209" t="str">
        <f t="shared" si="6"/>
        <v/>
      </c>
      <c r="S349" s="187"/>
      <c r="AA349" s="230">
        <v>1613</v>
      </c>
    </row>
    <row r="350" spans="1:27" ht="18" customHeight="1">
      <c r="A350" s="230">
        <v>39338</v>
      </c>
      <c r="B350" s="231">
        <v>73259</v>
      </c>
      <c r="C350" s="187" t="s">
        <v>213</v>
      </c>
      <c r="D350" s="230">
        <v>4</v>
      </c>
      <c r="E350" s="232">
        <v>700740795</v>
      </c>
      <c r="F350" s="230" t="s">
        <v>669</v>
      </c>
      <c r="G350" s="187" t="s">
        <v>775</v>
      </c>
      <c r="H350" s="250">
        <v>46177</v>
      </c>
      <c r="I350" s="207" t="s">
        <v>776</v>
      </c>
      <c r="J350" s="187" t="s">
        <v>777</v>
      </c>
      <c r="K350" s="235">
        <v>6990</v>
      </c>
      <c r="L350" s="207" t="s">
        <v>778</v>
      </c>
      <c r="M350" s="237"/>
      <c r="N350" s="207"/>
      <c r="O350" s="239"/>
      <c r="P350" s="249">
        <v>46254</v>
      </c>
      <c r="Q350" s="254"/>
      <c r="R350" s="209" t="str">
        <f t="shared" si="6"/>
        <v/>
      </c>
      <c r="S350" s="187"/>
    </row>
    <row r="351" spans="1:27" ht="18" customHeight="1">
      <c r="A351" s="230">
        <v>39338</v>
      </c>
      <c r="B351" s="231">
        <v>73260</v>
      </c>
      <c r="C351" s="187" t="s">
        <v>213</v>
      </c>
      <c r="D351" s="230">
        <v>4</v>
      </c>
      <c r="E351" s="232">
        <v>700740793</v>
      </c>
      <c r="F351" s="230" t="s">
        <v>669</v>
      </c>
      <c r="G351" s="187" t="s">
        <v>775</v>
      </c>
      <c r="H351" s="250">
        <v>46177</v>
      </c>
      <c r="I351" s="207" t="s">
        <v>779</v>
      </c>
      <c r="J351" s="187" t="s">
        <v>780</v>
      </c>
      <c r="K351" s="235">
        <v>8488</v>
      </c>
      <c r="L351" s="207" t="s">
        <v>778</v>
      </c>
      <c r="M351" s="237"/>
      <c r="N351" s="207"/>
      <c r="O351" s="239"/>
      <c r="P351" s="249">
        <v>46254</v>
      </c>
      <c r="Q351" s="254"/>
      <c r="R351" s="209" t="str">
        <f t="shared" si="6"/>
        <v/>
      </c>
      <c r="S351" s="187"/>
    </row>
    <row r="352" spans="1:27" ht="18" customHeight="1">
      <c r="A352" s="230"/>
      <c r="B352" s="231"/>
      <c r="C352" s="187"/>
      <c r="D352" s="230"/>
      <c r="E352" s="232"/>
      <c r="F352" s="230"/>
      <c r="G352" s="187"/>
      <c r="H352" s="250"/>
      <c r="J352" s="187"/>
      <c r="M352" s="237"/>
      <c r="N352" s="207"/>
      <c r="O352" s="239"/>
      <c r="P352" s="249"/>
      <c r="Q352" s="254"/>
      <c r="R352" s="209" t="str">
        <f t="shared" si="6"/>
        <v/>
      </c>
      <c r="S352" s="187"/>
      <c r="AA352" s="230">
        <v>1614</v>
      </c>
    </row>
    <row r="353" spans="1:27" ht="18" customHeight="1">
      <c r="A353" s="230">
        <v>39339</v>
      </c>
      <c r="B353" s="231">
        <v>73261</v>
      </c>
      <c r="C353" s="187" t="s">
        <v>213</v>
      </c>
      <c r="D353" s="230">
        <v>2</v>
      </c>
      <c r="E353" s="232">
        <v>700771004</v>
      </c>
      <c r="F353" s="230" t="s">
        <v>669</v>
      </c>
      <c r="G353" s="187" t="s">
        <v>541</v>
      </c>
      <c r="H353" s="250">
        <v>46177</v>
      </c>
      <c r="I353" s="207" t="s">
        <v>670</v>
      </c>
      <c r="J353" s="187" t="s">
        <v>781</v>
      </c>
      <c r="K353" s="235">
        <v>1964</v>
      </c>
      <c r="L353" s="207" t="s">
        <v>782</v>
      </c>
      <c r="M353" s="237"/>
      <c r="N353" s="207"/>
      <c r="O353" s="239"/>
      <c r="P353" s="249">
        <v>46234</v>
      </c>
      <c r="Q353" s="254"/>
      <c r="R353" s="209" t="str">
        <f t="shared" si="6"/>
        <v/>
      </c>
      <c r="S353" s="187"/>
    </row>
    <row r="354" spans="1:27" ht="18" customHeight="1">
      <c r="A354" s="230">
        <v>39339</v>
      </c>
      <c r="B354" s="231">
        <v>73262</v>
      </c>
      <c r="C354" s="187" t="s">
        <v>213</v>
      </c>
      <c r="D354" s="230">
        <v>2</v>
      </c>
      <c r="E354" s="232">
        <v>700771020</v>
      </c>
      <c r="F354" s="230" t="s">
        <v>669</v>
      </c>
      <c r="G354" s="187" t="s">
        <v>541</v>
      </c>
      <c r="H354" s="250">
        <v>46177</v>
      </c>
      <c r="I354" s="207" t="s">
        <v>783</v>
      </c>
      <c r="J354" s="187" t="s">
        <v>784</v>
      </c>
      <c r="K354" s="235">
        <v>1136</v>
      </c>
      <c r="L354" s="207" t="s">
        <v>782</v>
      </c>
      <c r="M354" s="237"/>
      <c r="N354" s="207"/>
      <c r="O354" s="239"/>
      <c r="P354" s="249">
        <v>46234</v>
      </c>
      <c r="Q354" s="254"/>
      <c r="R354" s="209" t="str">
        <f t="shared" si="6"/>
        <v/>
      </c>
      <c r="S354" s="187"/>
      <c r="AA354" s="230">
        <v>1615</v>
      </c>
    </row>
    <row r="355" spans="1:27" ht="18" customHeight="1">
      <c r="A355" s="230">
        <v>39339</v>
      </c>
      <c r="B355" s="231">
        <v>73263</v>
      </c>
      <c r="C355" s="187" t="s">
        <v>213</v>
      </c>
      <c r="D355" s="230">
        <v>2</v>
      </c>
      <c r="E355" s="232">
        <v>700772340</v>
      </c>
      <c r="F355" s="230" t="s">
        <v>210</v>
      </c>
      <c r="G355" s="187" t="s">
        <v>541</v>
      </c>
      <c r="H355" s="250">
        <v>46177</v>
      </c>
      <c r="I355" s="207" t="s">
        <v>789</v>
      </c>
      <c r="J355" s="187" t="s">
        <v>785</v>
      </c>
      <c r="K355" s="235">
        <v>5794</v>
      </c>
      <c r="L355" s="207" t="s">
        <v>782</v>
      </c>
      <c r="M355" s="237"/>
      <c r="N355" s="207"/>
      <c r="O355" s="239"/>
      <c r="P355" s="249">
        <v>46248</v>
      </c>
      <c r="Q355" s="254"/>
      <c r="R355" s="209" t="str">
        <f t="shared" si="6"/>
        <v/>
      </c>
      <c r="S355" s="187"/>
    </row>
    <row r="356" spans="1:27" ht="18" customHeight="1">
      <c r="A356" s="230">
        <v>39339</v>
      </c>
      <c r="B356" s="231">
        <v>73263</v>
      </c>
      <c r="C356" s="187" t="s">
        <v>213</v>
      </c>
      <c r="D356" s="230">
        <v>5</v>
      </c>
      <c r="E356" s="232">
        <v>700772340</v>
      </c>
      <c r="F356" s="230" t="s">
        <v>210</v>
      </c>
      <c r="G356" s="187" t="s">
        <v>541</v>
      </c>
      <c r="H356" s="250">
        <v>46178</v>
      </c>
      <c r="I356" s="207" t="s">
        <v>790</v>
      </c>
      <c r="J356" s="187" t="s">
        <v>785</v>
      </c>
      <c r="K356" s="235">
        <v>5795</v>
      </c>
      <c r="L356" s="207" t="s">
        <v>788</v>
      </c>
      <c r="M356" s="237"/>
      <c r="N356" s="207"/>
      <c r="O356" s="239"/>
      <c r="P356" s="249">
        <v>46262</v>
      </c>
      <c r="Q356" s="254"/>
      <c r="R356" s="209"/>
      <c r="S356" s="187"/>
      <c r="AA356" s="230">
        <v>1616</v>
      </c>
    </row>
    <row r="357" spans="1:27" ht="18" customHeight="1">
      <c r="A357" s="230">
        <v>39339</v>
      </c>
      <c r="B357" s="231">
        <v>73264</v>
      </c>
      <c r="C357" s="187" t="s">
        <v>213</v>
      </c>
      <c r="D357" s="230">
        <v>2</v>
      </c>
      <c r="E357" s="232">
        <v>700772357</v>
      </c>
      <c r="F357" s="230" t="s">
        <v>669</v>
      </c>
      <c r="G357" s="187" t="s">
        <v>541</v>
      </c>
      <c r="H357" s="250">
        <v>46177</v>
      </c>
      <c r="I357" s="207" t="s">
        <v>791</v>
      </c>
      <c r="J357" s="187" t="s">
        <v>786</v>
      </c>
      <c r="K357" s="235">
        <v>6963</v>
      </c>
      <c r="L357" s="207" t="s">
        <v>782</v>
      </c>
      <c r="M357" s="237"/>
      <c r="N357" s="207"/>
      <c r="O357" s="239"/>
      <c r="P357" s="249">
        <v>46248</v>
      </c>
      <c r="Q357" s="254"/>
      <c r="R357" s="209" t="str">
        <f t="shared" ref="R357:R421" si="7">IF(SUM(Q357)&gt;0,SUM(Q357-P357),"")</f>
        <v/>
      </c>
      <c r="S357" s="187"/>
    </row>
    <row r="358" spans="1:27" ht="18" customHeight="1">
      <c r="A358" s="230">
        <v>39339</v>
      </c>
      <c r="B358" s="231">
        <v>73264</v>
      </c>
      <c r="C358" s="187" t="s">
        <v>213</v>
      </c>
      <c r="D358" s="230">
        <v>5</v>
      </c>
      <c r="E358" s="232">
        <v>700772357</v>
      </c>
      <c r="F358" s="230" t="s">
        <v>669</v>
      </c>
      <c r="G358" s="187" t="s">
        <v>541</v>
      </c>
      <c r="H358" s="250">
        <v>46177</v>
      </c>
      <c r="I358" s="397" t="s">
        <v>787</v>
      </c>
      <c r="J358" s="187" t="s">
        <v>786</v>
      </c>
      <c r="K358" s="235">
        <v>6963</v>
      </c>
      <c r="L358" s="207" t="s">
        <v>782</v>
      </c>
      <c r="M358" s="237"/>
      <c r="N358" s="207"/>
      <c r="O358" s="239"/>
      <c r="P358" s="249">
        <v>46262</v>
      </c>
      <c r="Q358" s="254"/>
      <c r="R358" s="209" t="str">
        <f t="shared" si="7"/>
        <v/>
      </c>
      <c r="S358" s="187"/>
      <c r="AA358" s="230">
        <v>1617</v>
      </c>
    </row>
    <row r="359" spans="1:27" ht="18" customHeight="1">
      <c r="A359" s="230"/>
      <c r="B359" s="231"/>
      <c r="C359" s="187"/>
      <c r="D359" s="230"/>
      <c r="E359" s="232"/>
      <c r="F359" s="230"/>
      <c r="G359" s="187"/>
      <c r="H359" s="250"/>
      <c r="J359" s="187"/>
      <c r="M359" s="237"/>
      <c r="N359" s="207"/>
      <c r="O359" s="239"/>
      <c r="P359" s="249"/>
      <c r="Q359" s="254"/>
      <c r="R359" s="209" t="str">
        <f t="shared" si="7"/>
        <v/>
      </c>
      <c r="S359" s="187"/>
    </row>
    <row r="360" spans="1:27" ht="18" customHeight="1">
      <c r="A360" s="230">
        <v>39340</v>
      </c>
      <c r="B360" s="231">
        <v>73265</v>
      </c>
      <c r="C360" s="187" t="s">
        <v>213</v>
      </c>
      <c r="D360" s="230">
        <v>4</v>
      </c>
      <c r="E360" s="232">
        <v>700740791</v>
      </c>
      <c r="F360" s="230" t="s">
        <v>210</v>
      </c>
      <c r="G360" s="187" t="s">
        <v>775</v>
      </c>
      <c r="H360" s="250">
        <v>46178</v>
      </c>
      <c r="I360" s="207" t="s">
        <v>776</v>
      </c>
      <c r="J360" s="187" t="s">
        <v>793</v>
      </c>
      <c r="K360" s="235">
        <v>3995</v>
      </c>
      <c r="L360" s="207" t="s">
        <v>794</v>
      </c>
      <c r="M360" s="237"/>
      <c r="N360" s="207"/>
      <c r="O360" s="239"/>
      <c r="P360" s="249">
        <v>46231</v>
      </c>
      <c r="Q360" s="254"/>
      <c r="R360" s="209" t="str">
        <f t="shared" si="7"/>
        <v/>
      </c>
      <c r="S360" s="187"/>
      <c r="AA360" s="230">
        <v>1618</v>
      </c>
    </row>
    <row r="361" spans="1:27" ht="18" customHeight="1">
      <c r="A361" s="230"/>
      <c r="B361" s="231"/>
      <c r="C361" s="187"/>
      <c r="D361" s="230"/>
      <c r="E361" s="232"/>
      <c r="F361" s="230"/>
      <c r="G361" s="187"/>
      <c r="H361" s="250"/>
      <c r="J361" s="187"/>
      <c r="M361" s="237"/>
      <c r="N361" s="207"/>
      <c r="O361" s="239"/>
      <c r="P361" s="249"/>
      <c r="Q361" s="254"/>
      <c r="R361" s="209" t="str">
        <f t="shared" si="7"/>
        <v/>
      </c>
      <c r="S361" s="187"/>
    </row>
    <row r="362" spans="1:27" ht="18" customHeight="1">
      <c r="A362" s="230">
        <v>39341</v>
      </c>
      <c r="B362" s="231">
        <v>73266</v>
      </c>
      <c r="C362" s="187" t="s">
        <v>4</v>
      </c>
      <c r="D362" s="230">
        <v>2</v>
      </c>
      <c r="E362" s="232" t="s">
        <v>795</v>
      </c>
      <c r="F362" s="230">
        <v>3</v>
      </c>
      <c r="G362" s="187" t="s">
        <v>796</v>
      </c>
      <c r="H362" s="250">
        <v>46181</v>
      </c>
      <c r="I362" s="207">
        <v>10</v>
      </c>
      <c r="J362" s="187" t="s">
        <v>797</v>
      </c>
      <c r="K362" s="235">
        <v>2720</v>
      </c>
      <c r="L362" s="207">
        <v>280110650</v>
      </c>
      <c r="M362" s="237"/>
      <c r="N362" s="207"/>
      <c r="O362" s="239"/>
      <c r="P362" s="249">
        <v>46202</v>
      </c>
      <c r="Q362" s="254"/>
      <c r="R362" s="209" t="str">
        <f t="shared" si="7"/>
        <v/>
      </c>
      <c r="S362" s="187"/>
    </row>
    <row r="363" spans="1:27" ht="18" customHeight="1">
      <c r="A363" s="230"/>
      <c r="B363" s="231"/>
      <c r="C363" s="187"/>
      <c r="D363" s="230"/>
      <c r="E363" s="232"/>
      <c r="F363" s="230"/>
      <c r="G363" s="187"/>
      <c r="H363" s="250"/>
      <c r="J363" s="187"/>
      <c r="M363" s="237"/>
      <c r="N363" s="207"/>
      <c r="O363" s="239"/>
      <c r="P363" s="249"/>
      <c r="Q363" s="254"/>
      <c r="R363" s="209" t="str">
        <f t="shared" si="7"/>
        <v/>
      </c>
      <c r="S363" s="187"/>
      <c r="AA363" s="230">
        <v>1619</v>
      </c>
    </row>
    <row r="364" spans="1:27" ht="18" customHeight="1">
      <c r="A364" s="230">
        <v>39342</v>
      </c>
      <c r="B364" s="231">
        <v>73267</v>
      </c>
      <c r="C364" s="187" t="s">
        <v>213</v>
      </c>
      <c r="D364" s="230">
        <v>4</v>
      </c>
      <c r="E364" s="232">
        <v>700740421</v>
      </c>
      <c r="F364" s="230" t="s">
        <v>676</v>
      </c>
      <c r="G364" s="187" t="s">
        <v>775</v>
      </c>
      <c r="H364" s="250">
        <v>46181</v>
      </c>
      <c r="I364" s="207" t="s">
        <v>776</v>
      </c>
      <c r="J364" s="187" t="s">
        <v>798</v>
      </c>
      <c r="K364" s="235">
        <v>4864</v>
      </c>
      <c r="L364" s="207" t="s">
        <v>799</v>
      </c>
      <c r="M364" s="237"/>
      <c r="N364" s="207"/>
      <c r="O364" s="239"/>
      <c r="P364" s="249">
        <v>46234</v>
      </c>
      <c r="Q364" s="254"/>
      <c r="R364" s="209" t="str">
        <f t="shared" si="7"/>
        <v/>
      </c>
      <c r="S364" s="187"/>
    </row>
    <row r="365" spans="1:27" ht="18" customHeight="1">
      <c r="A365" s="230"/>
      <c r="B365" s="231"/>
      <c r="C365" s="187"/>
      <c r="D365" s="230"/>
      <c r="E365" s="232"/>
      <c r="F365" s="230"/>
      <c r="G365" s="187"/>
      <c r="H365" s="250"/>
      <c r="J365" s="187"/>
      <c r="M365" s="237"/>
      <c r="N365" s="207"/>
      <c r="O365" s="239"/>
      <c r="P365" s="249"/>
      <c r="Q365" s="254"/>
      <c r="R365" s="209" t="str">
        <f t="shared" si="7"/>
        <v/>
      </c>
      <c r="S365" s="187"/>
    </row>
    <row r="366" spans="1:27" ht="18" customHeight="1">
      <c r="A366" s="230">
        <v>39343</v>
      </c>
      <c r="B366" s="231">
        <v>73268</v>
      </c>
      <c r="C366" s="187" t="s">
        <v>41</v>
      </c>
      <c r="D366" s="230">
        <v>1</v>
      </c>
      <c r="E366" s="232" t="s">
        <v>800</v>
      </c>
      <c r="F366" s="230">
        <v>0</v>
      </c>
      <c r="G366" s="266" t="s">
        <v>265</v>
      </c>
      <c r="H366" s="250">
        <v>46181</v>
      </c>
      <c r="I366" s="207">
        <v>2</v>
      </c>
      <c r="J366" s="187" t="s">
        <v>801</v>
      </c>
      <c r="K366" s="235">
        <v>28821</v>
      </c>
      <c r="L366" s="207" t="s">
        <v>820</v>
      </c>
      <c r="M366" s="237"/>
      <c r="N366" s="207"/>
      <c r="O366" s="239"/>
      <c r="P366" s="249">
        <v>46251</v>
      </c>
      <c r="Q366" s="254"/>
      <c r="R366" s="209" t="str">
        <f t="shared" si="7"/>
        <v/>
      </c>
      <c r="S366" s="187"/>
    </row>
    <row r="367" spans="1:27" ht="18" customHeight="1">
      <c r="A367" s="230"/>
      <c r="B367" s="231"/>
      <c r="C367" s="187"/>
      <c r="D367" s="230"/>
      <c r="E367" s="232"/>
      <c r="F367" s="230"/>
      <c r="G367" s="187"/>
      <c r="H367" s="250"/>
      <c r="J367" s="187"/>
      <c r="M367" s="237"/>
      <c r="N367" s="207"/>
      <c r="O367" s="239"/>
      <c r="P367" s="249"/>
      <c r="Q367" s="254"/>
      <c r="R367" s="209" t="str">
        <f t="shared" si="7"/>
        <v/>
      </c>
      <c r="S367" s="187"/>
    </row>
    <row r="368" spans="1:27" ht="18" customHeight="1">
      <c r="A368" s="230">
        <v>39345</v>
      </c>
      <c r="B368" s="231">
        <v>73270</v>
      </c>
      <c r="C368" s="187" t="s">
        <v>213</v>
      </c>
      <c r="D368" s="230">
        <v>2</v>
      </c>
      <c r="E368" s="232">
        <v>700772444</v>
      </c>
      <c r="F368" s="230" t="s">
        <v>210</v>
      </c>
      <c r="G368" s="187" t="s">
        <v>541</v>
      </c>
      <c r="H368" s="250">
        <v>46181</v>
      </c>
      <c r="I368" s="207" t="s">
        <v>802</v>
      </c>
      <c r="J368" s="187" t="s">
        <v>803</v>
      </c>
      <c r="K368" s="235">
        <v>640</v>
      </c>
      <c r="L368" s="207" t="s">
        <v>865</v>
      </c>
      <c r="M368" s="237"/>
      <c r="N368" s="207"/>
      <c r="O368" s="239"/>
      <c r="P368" s="249">
        <v>46223</v>
      </c>
      <c r="Q368" s="254"/>
      <c r="R368" s="209" t="str">
        <f t="shared" si="7"/>
        <v/>
      </c>
      <c r="S368" s="187"/>
    </row>
    <row r="369" spans="1:27" ht="18" customHeight="1">
      <c r="A369" s="230">
        <v>39345</v>
      </c>
      <c r="B369" s="231">
        <v>73270</v>
      </c>
      <c r="C369" s="187" t="s">
        <v>213</v>
      </c>
      <c r="D369" s="230">
        <v>5</v>
      </c>
      <c r="E369" s="232">
        <v>700772444</v>
      </c>
      <c r="F369" s="230" t="s">
        <v>210</v>
      </c>
      <c r="G369" s="187" t="s">
        <v>541</v>
      </c>
      <c r="H369" s="250">
        <v>46181</v>
      </c>
      <c r="I369" s="207" t="s">
        <v>804</v>
      </c>
      <c r="J369" s="187" t="s">
        <v>803</v>
      </c>
      <c r="K369" s="235">
        <v>640</v>
      </c>
      <c r="L369" s="207" t="s">
        <v>866</v>
      </c>
      <c r="M369" s="237"/>
      <c r="N369" s="207"/>
      <c r="O369" s="239"/>
      <c r="P369" s="249">
        <v>46262</v>
      </c>
      <c r="Q369" s="254"/>
      <c r="R369" s="209" t="str">
        <f t="shared" si="7"/>
        <v/>
      </c>
      <c r="S369" s="187"/>
    </row>
    <row r="370" spans="1:27" ht="18" customHeight="1">
      <c r="A370" s="230">
        <v>39345</v>
      </c>
      <c r="B370" s="231">
        <v>73271</v>
      </c>
      <c r="C370" s="187" t="s">
        <v>213</v>
      </c>
      <c r="D370" s="230">
        <v>10</v>
      </c>
      <c r="E370" s="232">
        <v>700772448</v>
      </c>
      <c r="F370" s="230" t="s">
        <v>210</v>
      </c>
      <c r="G370" s="187" t="s">
        <v>541</v>
      </c>
      <c r="H370" s="250">
        <v>46181</v>
      </c>
      <c r="I370" s="207" t="s">
        <v>805</v>
      </c>
      <c r="J370" s="187" t="s">
        <v>806</v>
      </c>
      <c r="K370" s="235">
        <v>695</v>
      </c>
      <c r="L370" s="207" t="s">
        <v>866</v>
      </c>
      <c r="M370" s="237"/>
      <c r="N370" s="207"/>
      <c r="O370" s="239"/>
      <c r="P370" s="249">
        <v>46262</v>
      </c>
      <c r="Q370" s="254"/>
      <c r="R370" s="209" t="str">
        <f t="shared" si="7"/>
        <v/>
      </c>
      <c r="S370" s="187"/>
    </row>
    <row r="371" spans="1:27" ht="18" customHeight="1">
      <c r="A371" s="230">
        <v>39345</v>
      </c>
      <c r="B371" s="231">
        <v>73271</v>
      </c>
      <c r="C371" s="187" t="s">
        <v>213</v>
      </c>
      <c r="D371" s="230">
        <v>4</v>
      </c>
      <c r="E371" s="232">
        <v>700772448</v>
      </c>
      <c r="F371" s="230" t="s">
        <v>210</v>
      </c>
      <c r="G371" s="187" t="s">
        <v>541</v>
      </c>
      <c r="H371" s="250">
        <v>46181</v>
      </c>
      <c r="I371" s="207" t="s">
        <v>807</v>
      </c>
      <c r="J371" s="187" t="s">
        <v>806</v>
      </c>
      <c r="K371" s="235">
        <v>695</v>
      </c>
      <c r="L371" s="207" t="s">
        <v>866</v>
      </c>
      <c r="M371" s="237"/>
      <c r="N371" s="207"/>
      <c r="O371" s="239"/>
      <c r="P371" s="249">
        <v>46223</v>
      </c>
      <c r="Q371" s="254"/>
      <c r="R371" s="209" t="str">
        <f t="shared" si="7"/>
        <v/>
      </c>
      <c r="S371" s="187"/>
      <c r="AA371" s="230">
        <v>1620</v>
      </c>
    </row>
    <row r="372" spans="1:27" ht="18" customHeight="1">
      <c r="A372" s="230">
        <v>39345</v>
      </c>
      <c r="B372" s="231">
        <v>73272</v>
      </c>
      <c r="C372" s="187" t="s">
        <v>213</v>
      </c>
      <c r="D372" s="230">
        <v>2</v>
      </c>
      <c r="E372" s="232">
        <v>700799360</v>
      </c>
      <c r="F372" s="237" t="s">
        <v>853</v>
      </c>
      <c r="G372" s="187" t="s">
        <v>541</v>
      </c>
      <c r="H372" s="250">
        <v>46181</v>
      </c>
      <c r="I372" s="207" t="s">
        <v>808</v>
      </c>
      <c r="J372" s="187" t="s">
        <v>809</v>
      </c>
      <c r="K372" s="235">
        <v>4642</v>
      </c>
      <c r="L372" s="207" t="s">
        <v>866</v>
      </c>
      <c r="M372" s="237"/>
      <c r="N372" s="207"/>
      <c r="O372" s="239"/>
      <c r="P372" s="249">
        <v>46223</v>
      </c>
      <c r="Q372" s="254"/>
      <c r="R372" s="209" t="str">
        <f t="shared" si="7"/>
        <v/>
      </c>
      <c r="S372" s="187"/>
    </row>
    <row r="373" spans="1:27" ht="18" customHeight="1">
      <c r="A373" s="230">
        <v>39345</v>
      </c>
      <c r="B373" s="231">
        <v>73272</v>
      </c>
      <c r="C373" s="187" t="s">
        <v>213</v>
      </c>
      <c r="D373" s="230">
        <v>2</v>
      </c>
      <c r="E373" s="232">
        <v>700799360</v>
      </c>
      <c r="F373" s="237" t="s">
        <v>853</v>
      </c>
      <c r="G373" s="187" t="s">
        <v>541</v>
      </c>
      <c r="H373" s="250">
        <v>46181</v>
      </c>
      <c r="I373" s="207" t="s">
        <v>810</v>
      </c>
      <c r="J373" s="187" t="s">
        <v>809</v>
      </c>
      <c r="K373" s="235">
        <v>4642</v>
      </c>
      <c r="L373" s="207" t="s">
        <v>866</v>
      </c>
      <c r="M373" s="237"/>
      <c r="N373" s="207"/>
      <c r="O373" s="239"/>
      <c r="P373" s="249">
        <v>46262</v>
      </c>
      <c r="Q373" s="254"/>
      <c r="R373" s="209" t="str">
        <f t="shared" si="7"/>
        <v/>
      </c>
      <c r="S373" s="187"/>
      <c r="AA373" s="230">
        <v>1621</v>
      </c>
    </row>
    <row r="374" spans="1:27" ht="18" customHeight="1">
      <c r="A374" s="230">
        <v>39345</v>
      </c>
      <c r="B374" s="231">
        <v>73273</v>
      </c>
      <c r="C374" s="187" t="s">
        <v>213</v>
      </c>
      <c r="D374" s="230">
        <v>2</v>
      </c>
      <c r="E374" s="232">
        <v>700817215</v>
      </c>
      <c r="F374" s="230" t="s">
        <v>210</v>
      </c>
      <c r="G374" s="187" t="s">
        <v>541</v>
      </c>
      <c r="H374" s="250">
        <v>46181</v>
      </c>
      <c r="I374" s="207" t="s">
        <v>811</v>
      </c>
      <c r="J374" s="187" t="s">
        <v>812</v>
      </c>
      <c r="K374" s="235">
        <v>750</v>
      </c>
      <c r="L374" s="207" t="s">
        <v>866</v>
      </c>
      <c r="M374" s="237"/>
      <c r="N374" s="207"/>
      <c r="O374" s="239"/>
      <c r="P374" s="249">
        <v>46262</v>
      </c>
      <c r="Q374" s="254"/>
      <c r="R374" s="209" t="str">
        <f t="shared" si="7"/>
        <v/>
      </c>
      <c r="S374" s="187"/>
    </row>
    <row r="375" spans="1:27" ht="18" customHeight="1">
      <c r="A375" s="230">
        <v>39345</v>
      </c>
      <c r="B375" s="231">
        <v>73273</v>
      </c>
      <c r="C375" s="187" t="s">
        <v>213</v>
      </c>
      <c r="D375" s="230">
        <v>2</v>
      </c>
      <c r="E375" s="232">
        <v>700817215</v>
      </c>
      <c r="F375" s="230" t="s">
        <v>210</v>
      </c>
      <c r="G375" s="187" t="s">
        <v>541</v>
      </c>
      <c r="H375" s="250">
        <v>46181</v>
      </c>
      <c r="I375" s="207" t="s">
        <v>813</v>
      </c>
      <c r="J375" s="187" t="s">
        <v>812</v>
      </c>
      <c r="K375" s="235">
        <v>750</v>
      </c>
      <c r="L375" s="207" t="s">
        <v>865</v>
      </c>
      <c r="M375" s="237"/>
      <c r="N375" s="207"/>
      <c r="O375" s="239"/>
      <c r="P375" s="249">
        <v>46223</v>
      </c>
      <c r="Q375" s="254"/>
      <c r="R375" s="209" t="str">
        <f t="shared" si="7"/>
        <v/>
      </c>
      <c r="S375" s="187"/>
      <c r="AA375" s="230">
        <v>1622</v>
      </c>
    </row>
    <row r="376" spans="1:27" ht="18" customHeight="1">
      <c r="A376" s="230"/>
      <c r="B376" s="231"/>
      <c r="C376" s="187"/>
      <c r="D376" s="230"/>
      <c r="E376" s="232"/>
      <c r="F376" s="230"/>
      <c r="G376" s="187"/>
      <c r="H376" s="250"/>
      <c r="J376" s="187"/>
      <c r="M376" s="237"/>
      <c r="N376" s="207"/>
      <c r="O376" s="239"/>
      <c r="P376" s="249"/>
      <c r="Q376" s="254"/>
      <c r="R376" s="209" t="str">
        <f t="shared" si="7"/>
        <v/>
      </c>
      <c r="S376" s="187"/>
    </row>
    <row r="377" spans="1:27" ht="18" customHeight="1">
      <c r="A377" s="230">
        <v>39346</v>
      </c>
      <c r="B377" s="231">
        <v>73274</v>
      </c>
      <c r="C377" s="187" t="s">
        <v>32</v>
      </c>
      <c r="D377" s="230">
        <v>1</v>
      </c>
      <c r="E377" s="232" t="s">
        <v>814</v>
      </c>
      <c r="F377" s="230"/>
      <c r="G377" s="187" t="s">
        <v>542</v>
      </c>
      <c r="H377" s="250">
        <v>46182</v>
      </c>
      <c r="I377" s="207">
        <v>1</v>
      </c>
      <c r="J377" s="187" t="s">
        <v>815</v>
      </c>
      <c r="M377" s="237"/>
      <c r="N377" s="207"/>
      <c r="O377" s="239"/>
      <c r="P377" s="249">
        <v>46202</v>
      </c>
      <c r="Q377" s="254"/>
      <c r="R377" s="209" t="str">
        <f t="shared" si="7"/>
        <v/>
      </c>
      <c r="S377" s="187"/>
      <c r="AA377" s="230">
        <v>1623</v>
      </c>
    </row>
    <row r="378" spans="1:27" ht="18" customHeight="1">
      <c r="A378" s="230"/>
      <c r="B378" s="231"/>
      <c r="C378" s="187"/>
      <c r="D378" s="230"/>
      <c r="E378" s="232"/>
      <c r="F378" s="230"/>
      <c r="G378" s="187"/>
      <c r="H378" s="250"/>
      <c r="J378" s="187"/>
      <c r="M378" s="237"/>
      <c r="N378" s="207"/>
      <c r="O378" s="239"/>
      <c r="P378" s="249"/>
      <c r="Q378" s="254"/>
      <c r="R378" s="209" t="str">
        <f t="shared" si="7"/>
        <v/>
      </c>
      <c r="S378" s="187"/>
      <c r="AA378" s="230">
        <v>1624</v>
      </c>
    </row>
    <row r="379" spans="1:27" ht="18" customHeight="1">
      <c r="A379" s="230">
        <v>39347</v>
      </c>
      <c r="B379" s="231">
        <v>73275</v>
      </c>
      <c r="C379" s="187" t="s">
        <v>41</v>
      </c>
      <c r="D379" s="230">
        <v>100</v>
      </c>
      <c r="E379" s="232" t="s">
        <v>816</v>
      </c>
      <c r="F379" s="230">
        <v>0</v>
      </c>
      <c r="G379" s="187" t="s">
        <v>817</v>
      </c>
      <c r="H379" s="250">
        <v>46182</v>
      </c>
      <c r="J379" s="187" t="s">
        <v>818</v>
      </c>
      <c r="K379" s="235">
        <v>394.85</v>
      </c>
      <c r="L379" s="316" t="s">
        <v>883</v>
      </c>
      <c r="M379" s="237">
        <v>45206</v>
      </c>
      <c r="N379" s="207">
        <v>100</v>
      </c>
      <c r="O379" s="239"/>
      <c r="P379" s="249">
        <v>46212</v>
      </c>
      <c r="Q379" s="254">
        <v>46212</v>
      </c>
      <c r="R379" s="209">
        <f t="shared" si="7"/>
        <v>0</v>
      </c>
      <c r="S379" s="187"/>
    </row>
    <row r="380" spans="1:27" ht="18" customHeight="1">
      <c r="A380" s="230"/>
      <c r="B380" s="231"/>
      <c r="C380" s="187"/>
      <c r="D380" s="230"/>
      <c r="E380" s="232"/>
      <c r="F380" s="230"/>
      <c r="G380" s="187"/>
      <c r="H380" s="250"/>
      <c r="J380" s="187"/>
      <c r="M380" s="237"/>
      <c r="N380" s="207"/>
      <c r="O380" s="239"/>
      <c r="P380" s="249"/>
      <c r="Q380" s="254"/>
      <c r="R380" s="209" t="str">
        <f t="shared" si="7"/>
        <v/>
      </c>
      <c r="S380" s="187"/>
      <c r="AA380" s="230">
        <v>1625</v>
      </c>
    </row>
    <row r="381" spans="1:27" ht="18" customHeight="1">
      <c r="A381" s="230">
        <v>39349</v>
      </c>
      <c r="B381" s="231">
        <v>73277</v>
      </c>
      <c r="C381" s="187" t="s">
        <v>41</v>
      </c>
      <c r="D381" s="230">
        <v>100</v>
      </c>
      <c r="E381" s="232" t="s">
        <v>821</v>
      </c>
      <c r="F381" s="230"/>
      <c r="G381" s="266" t="s">
        <v>319</v>
      </c>
      <c r="H381" s="250">
        <v>46185</v>
      </c>
      <c r="I381" s="207">
        <v>1</v>
      </c>
      <c r="J381" s="187" t="s">
        <v>823</v>
      </c>
      <c r="K381" s="235">
        <v>960.9</v>
      </c>
      <c r="L381" s="207" t="s">
        <v>825</v>
      </c>
      <c r="M381" s="237"/>
      <c r="N381" s="207"/>
      <c r="O381" s="239"/>
      <c r="P381" s="249">
        <v>46457</v>
      </c>
      <c r="Q381" s="254"/>
      <c r="R381" s="209" t="str">
        <f t="shared" si="7"/>
        <v/>
      </c>
      <c r="S381" s="187"/>
    </row>
    <row r="382" spans="1:27" ht="18" customHeight="1">
      <c r="A382" s="230">
        <v>39349</v>
      </c>
      <c r="B382" s="231">
        <v>73278</v>
      </c>
      <c r="C382" s="187" t="s">
        <v>41</v>
      </c>
      <c r="D382" s="230">
        <v>20</v>
      </c>
      <c r="E382" s="232" t="s">
        <v>822</v>
      </c>
      <c r="F382" s="230"/>
      <c r="G382" s="266" t="s">
        <v>319</v>
      </c>
      <c r="H382" s="250">
        <v>46185</v>
      </c>
      <c r="I382" s="207">
        <v>2</v>
      </c>
      <c r="J382" s="187" t="s">
        <v>824</v>
      </c>
      <c r="K382" s="235">
        <v>2711</v>
      </c>
      <c r="L382" s="207" t="s">
        <v>825</v>
      </c>
      <c r="M382" s="237"/>
      <c r="N382" s="207"/>
      <c r="O382" s="239"/>
      <c r="P382" s="249">
        <v>46457</v>
      </c>
      <c r="Q382" s="254"/>
      <c r="R382" s="209" t="str">
        <f t="shared" si="7"/>
        <v/>
      </c>
      <c r="S382" s="187"/>
    </row>
    <row r="383" spans="1:27" ht="18" customHeight="1">
      <c r="A383" s="230"/>
      <c r="B383" s="231"/>
      <c r="C383" s="187"/>
      <c r="D383" s="230"/>
      <c r="E383" s="232"/>
      <c r="F383" s="230"/>
      <c r="G383" s="187"/>
      <c r="H383" s="250"/>
      <c r="J383" s="187"/>
      <c r="M383" s="237"/>
      <c r="N383" s="207"/>
      <c r="O383" s="239"/>
      <c r="P383" s="249"/>
      <c r="Q383" s="254"/>
      <c r="R383" s="209" t="str">
        <f t="shared" si="7"/>
        <v/>
      </c>
      <c r="S383" s="187"/>
    </row>
    <row r="384" spans="1:27" ht="18" customHeight="1">
      <c r="A384" s="230">
        <v>39350</v>
      </c>
      <c r="B384" s="231">
        <v>73279</v>
      </c>
      <c r="C384" s="187" t="s">
        <v>213</v>
      </c>
      <c r="D384" s="230">
        <v>1</v>
      </c>
      <c r="E384" s="232">
        <v>700827721</v>
      </c>
      <c r="F384" s="230" t="s">
        <v>676</v>
      </c>
      <c r="G384" s="187" t="s">
        <v>541</v>
      </c>
      <c r="H384" s="250">
        <v>46191</v>
      </c>
      <c r="I384" s="207">
        <v>1</v>
      </c>
      <c r="J384" s="187" t="s">
        <v>832</v>
      </c>
      <c r="K384" s="235">
        <v>4570</v>
      </c>
      <c r="L384" s="207" t="s">
        <v>833</v>
      </c>
      <c r="M384" s="237"/>
      <c r="N384" s="207"/>
      <c r="O384" s="239"/>
      <c r="P384" s="249">
        <v>46225</v>
      </c>
      <c r="Q384" s="254"/>
      <c r="R384" s="209" t="str">
        <f t="shared" si="7"/>
        <v/>
      </c>
      <c r="S384" s="187"/>
    </row>
    <row r="385" spans="1:27" ht="18" customHeight="1">
      <c r="A385" s="230"/>
      <c r="B385" s="231"/>
      <c r="C385" s="187"/>
      <c r="D385" s="230"/>
      <c r="E385" s="232"/>
      <c r="F385" s="230"/>
      <c r="G385" s="187"/>
      <c r="H385" s="250"/>
      <c r="J385" s="187"/>
      <c r="M385" s="237"/>
      <c r="N385" s="207"/>
      <c r="O385" s="239"/>
      <c r="P385" s="249"/>
      <c r="Q385" s="254"/>
      <c r="R385" s="209" t="str">
        <f t="shared" si="7"/>
        <v/>
      </c>
      <c r="S385" s="187"/>
      <c r="AA385" s="230">
        <v>1626</v>
      </c>
    </row>
    <row r="386" spans="1:27" ht="18" customHeight="1">
      <c r="A386" s="230">
        <v>39353</v>
      </c>
      <c r="B386" s="231">
        <v>73282</v>
      </c>
      <c r="C386" s="187" t="s">
        <v>171</v>
      </c>
      <c r="D386" s="230">
        <v>1</v>
      </c>
      <c r="E386" s="232" t="s">
        <v>835</v>
      </c>
      <c r="F386" s="230"/>
      <c r="G386" s="187" t="s">
        <v>836</v>
      </c>
      <c r="H386" s="250">
        <v>46192</v>
      </c>
      <c r="I386" s="207">
        <v>1</v>
      </c>
      <c r="J386" s="187" t="s">
        <v>837</v>
      </c>
      <c r="K386" s="235">
        <v>778</v>
      </c>
      <c r="L386" s="207">
        <v>724734</v>
      </c>
      <c r="M386" s="237"/>
      <c r="N386" s="207"/>
      <c r="O386" s="239"/>
      <c r="P386" s="249">
        <v>46213</v>
      </c>
      <c r="Q386" s="254"/>
      <c r="R386" s="209" t="str">
        <f t="shared" si="7"/>
        <v/>
      </c>
      <c r="S386" s="187"/>
    </row>
    <row r="387" spans="1:27" ht="18" customHeight="1">
      <c r="A387" s="230"/>
      <c r="B387" s="231"/>
      <c r="C387" s="187"/>
      <c r="D387" s="230"/>
      <c r="E387" s="232"/>
      <c r="F387" s="230"/>
      <c r="G387" s="187"/>
      <c r="H387" s="250"/>
      <c r="J387" s="187"/>
      <c r="M387" s="237"/>
      <c r="N387" s="207"/>
      <c r="O387" s="239"/>
      <c r="P387" s="249"/>
      <c r="Q387" s="254"/>
      <c r="R387" s="209" t="str">
        <f t="shared" si="7"/>
        <v/>
      </c>
      <c r="S387" s="187"/>
      <c r="AA387" s="230">
        <v>1628</v>
      </c>
    </row>
    <row r="388" spans="1:27" ht="18" customHeight="1">
      <c r="A388" s="230">
        <v>39354</v>
      </c>
      <c r="B388" s="231">
        <v>73283</v>
      </c>
      <c r="C388" s="187" t="s">
        <v>37</v>
      </c>
      <c r="D388" s="230">
        <v>3</v>
      </c>
      <c r="E388" s="232" t="s">
        <v>295</v>
      </c>
      <c r="F388" s="230" t="s">
        <v>840</v>
      </c>
      <c r="G388" s="187" t="s">
        <v>838</v>
      </c>
      <c r="H388" s="250">
        <v>46192</v>
      </c>
      <c r="I388" s="207">
        <v>1</v>
      </c>
      <c r="J388" s="187" t="s">
        <v>839</v>
      </c>
      <c r="K388" s="235">
        <v>165</v>
      </c>
      <c r="L388" s="207">
        <v>604917</v>
      </c>
      <c r="M388" s="237"/>
      <c r="N388" s="207"/>
      <c r="O388" s="239"/>
      <c r="P388" s="249">
        <v>46213</v>
      </c>
      <c r="Q388" s="254"/>
      <c r="R388" s="209" t="str">
        <f t="shared" si="7"/>
        <v/>
      </c>
      <c r="S388" s="187"/>
      <c r="AA388" s="230">
        <v>1629</v>
      </c>
    </row>
    <row r="389" spans="1:27" ht="18" customHeight="1">
      <c r="A389" s="230">
        <v>39354</v>
      </c>
      <c r="B389" s="231">
        <v>73284</v>
      </c>
      <c r="C389" s="187" t="s">
        <v>37</v>
      </c>
      <c r="D389" s="230">
        <v>3</v>
      </c>
      <c r="E389" s="232" t="s">
        <v>295</v>
      </c>
      <c r="F389" s="230"/>
      <c r="G389" s="187" t="s">
        <v>838</v>
      </c>
      <c r="H389" s="250">
        <v>46192</v>
      </c>
      <c r="I389" s="207">
        <v>2</v>
      </c>
      <c r="J389" s="187" t="s">
        <v>841</v>
      </c>
      <c r="K389" s="235">
        <v>126</v>
      </c>
      <c r="L389" s="207">
        <v>604917</v>
      </c>
      <c r="M389" s="237"/>
      <c r="N389" s="207"/>
      <c r="O389" s="239"/>
      <c r="P389" s="249">
        <v>46213</v>
      </c>
      <c r="Q389" s="254"/>
      <c r="R389" s="209" t="str">
        <f t="shared" si="7"/>
        <v/>
      </c>
      <c r="S389" s="187"/>
      <c r="AA389" s="230">
        <v>1630</v>
      </c>
    </row>
    <row r="390" spans="1:27" ht="18" customHeight="1">
      <c r="A390" s="230">
        <v>39354</v>
      </c>
      <c r="B390" s="231">
        <v>73285</v>
      </c>
      <c r="C390" s="187" t="s">
        <v>37</v>
      </c>
      <c r="D390" s="230">
        <v>3</v>
      </c>
      <c r="E390" s="232" t="s">
        <v>295</v>
      </c>
      <c r="F390" s="230"/>
      <c r="G390" s="187" t="s">
        <v>838</v>
      </c>
      <c r="H390" s="250">
        <v>46192</v>
      </c>
      <c r="I390" s="207">
        <v>3</v>
      </c>
      <c r="J390" s="187" t="s">
        <v>842</v>
      </c>
      <c r="K390" s="235">
        <v>126</v>
      </c>
      <c r="L390" s="207">
        <v>604917</v>
      </c>
      <c r="M390" s="237"/>
      <c r="N390" s="207"/>
      <c r="O390" s="239"/>
      <c r="P390" s="249">
        <v>46213</v>
      </c>
      <c r="Q390" s="254"/>
      <c r="R390" s="209" t="str">
        <f t="shared" si="7"/>
        <v/>
      </c>
      <c r="S390" s="187"/>
    </row>
    <row r="391" spans="1:27" ht="18" customHeight="1">
      <c r="A391" s="230"/>
      <c r="B391" s="231"/>
      <c r="C391" s="187"/>
      <c r="D391" s="230"/>
      <c r="E391" s="232"/>
      <c r="F391" s="230"/>
      <c r="G391" s="187"/>
      <c r="H391" s="250"/>
      <c r="J391" s="187"/>
      <c r="M391" s="237"/>
      <c r="N391" s="207"/>
      <c r="O391" s="239"/>
      <c r="P391" s="249"/>
      <c r="Q391" s="254"/>
      <c r="R391" s="209" t="str">
        <f t="shared" si="7"/>
        <v/>
      </c>
      <c r="S391" s="187"/>
      <c r="AA391" s="230">
        <v>1631</v>
      </c>
    </row>
    <row r="392" spans="1:27" ht="18" customHeight="1">
      <c r="A392" s="230">
        <v>39355</v>
      </c>
      <c r="B392" s="231">
        <v>73286</v>
      </c>
      <c r="C392" s="187" t="s">
        <v>32</v>
      </c>
      <c r="D392" s="230">
        <v>4</v>
      </c>
      <c r="E392" s="232" t="s">
        <v>843</v>
      </c>
      <c r="F392" s="230"/>
      <c r="G392" s="187" t="s">
        <v>542</v>
      </c>
      <c r="H392" s="250">
        <v>46192</v>
      </c>
      <c r="I392" s="207">
        <v>1</v>
      </c>
      <c r="J392" s="187" t="s">
        <v>844</v>
      </c>
      <c r="M392" s="237"/>
      <c r="N392" s="207"/>
      <c r="O392" s="239"/>
      <c r="P392" s="249">
        <v>46195</v>
      </c>
      <c r="Q392" s="254"/>
      <c r="R392" s="209" t="str">
        <f t="shared" si="7"/>
        <v/>
      </c>
      <c r="S392" s="187"/>
    </row>
    <row r="393" spans="1:27" ht="18" customHeight="1">
      <c r="A393" s="230"/>
      <c r="B393" s="231"/>
      <c r="C393" s="187"/>
      <c r="D393" s="230"/>
      <c r="E393" s="232"/>
      <c r="F393" s="230"/>
      <c r="G393" s="187"/>
      <c r="H393" s="250"/>
      <c r="J393" s="187"/>
      <c r="M393" s="237"/>
      <c r="N393" s="207"/>
      <c r="O393" s="239"/>
      <c r="P393" s="249"/>
      <c r="Q393" s="254"/>
      <c r="R393" s="209" t="str">
        <f t="shared" si="7"/>
        <v/>
      </c>
      <c r="S393" s="187"/>
      <c r="AA393" s="230">
        <v>1632</v>
      </c>
    </row>
    <row r="394" spans="1:27" ht="18" customHeight="1">
      <c r="A394" s="230">
        <v>39356</v>
      </c>
      <c r="B394" s="231">
        <v>73287</v>
      </c>
      <c r="C394" s="187" t="s">
        <v>0</v>
      </c>
      <c r="D394" s="230">
        <v>1</v>
      </c>
      <c r="E394" s="232" t="s">
        <v>650</v>
      </c>
      <c r="F394" s="230"/>
      <c r="G394" s="187" t="s">
        <v>228</v>
      </c>
      <c r="H394" s="250">
        <v>46193</v>
      </c>
      <c r="I394" s="207">
        <v>1</v>
      </c>
      <c r="J394" s="187" t="s">
        <v>845</v>
      </c>
      <c r="M394" s="237"/>
      <c r="N394" s="207"/>
      <c r="O394" s="239"/>
      <c r="P394" s="249">
        <v>46193</v>
      </c>
      <c r="Q394" s="254"/>
      <c r="R394" s="209" t="str">
        <f t="shared" si="7"/>
        <v/>
      </c>
      <c r="S394" s="187"/>
    </row>
    <row r="395" spans="1:27" ht="18" customHeight="1">
      <c r="A395" s="230"/>
      <c r="B395" s="231"/>
      <c r="C395" s="187"/>
      <c r="D395" s="230"/>
      <c r="E395" s="232"/>
      <c r="F395" s="230"/>
      <c r="G395" s="187"/>
      <c r="H395" s="250"/>
      <c r="J395" s="187"/>
      <c r="M395" s="237"/>
      <c r="N395" s="207"/>
      <c r="O395" s="239"/>
      <c r="P395" s="249"/>
      <c r="Q395" s="254"/>
      <c r="R395" s="209" t="str">
        <f t="shared" si="7"/>
        <v/>
      </c>
      <c r="S395" s="187"/>
      <c r="AA395" s="230">
        <v>1633</v>
      </c>
    </row>
    <row r="396" spans="1:27" ht="18" customHeight="1">
      <c r="A396" s="230">
        <v>39358</v>
      </c>
      <c r="B396" s="231">
        <v>73289</v>
      </c>
      <c r="C396" s="187" t="s">
        <v>213</v>
      </c>
      <c r="D396" s="230">
        <v>1</v>
      </c>
      <c r="E396" s="232" t="s">
        <v>847</v>
      </c>
      <c r="F396" s="230"/>
      <c r="G396" s="187" t="s">
        <v>541</v>
      </c>
      <c r="H396" s="250">
        <v>46196</v>
      </c>
      <c r="I396" s="207">
        <v>1</v>
      </c>
      <c r="J396" s="187" t="s">
        <v>861</v>
      </c>
      <c r="K396" s="235">
        <v>1481</v>
      </c>
      <c r="M396" s="237"/>
      <c r="N396" s="207"/>
      <c r="O396" s="239"/>
      <c r="P396" s="249">
        <v>46206</v>
      </c>
      <c r="Q396" s="254"/>
      <c r="R396" s="209" t="str">
        <f t="shared" si="7"/>
        <v/>
      </c>
      <c r="S396" s="187"/>
      <c r="AA396" s="230">
        <v>1634</v>
      </c>
    </row>
    <row r="397" spans="1:27" ht="18" customHeight="1">
      <c r="A397" s="230"/>
      <c r="B397" s="231"/>
      <c r="C397" s="187"/>
      <c r="D397" s="230"/>
      <c r="E397" s="232"/>
      <c r="F397" s="230"/>
      <c r="G397" s="187"/>
      <c r="H397" s="250"/>
      <c r="J397" s="187"/>
      <c r="M397" s="237"/>
      <c r="N397" s="207"/>
      <c r="O397" s="239"/>
      <c r="P397" s="249"/>
      <c r="Q397" s="254"/>
      <c r="R397" s="209" t="str">
        <f t="shared" si="7"/>
        <v/>
      </c>
      <c r="S397" s="187"/>
    </row>
    <row r="398" spans="1:27" ht="18" customHeight="1">
      <c r="A398" s="230">
        <v>39359</v>
      </c>
      <c r="B398" s="231">
        <v>73290</v>
      </c>
      <c r="C398" s="187" t="s">
        <v>32</v>
      </c>
      <c r="D398" s="230">
        <v>1</v>
      </c>
      <c r="E398" s="232" t="s">
        <v>848</v>
      </c>
      <c r="F398" s="230"/>
      <c r="G398" s="187" t="s">
        <v>542</v>
      </c>
      <c r="H398" s="250">
        <v>46196</v>
      </c>
      <c r="I398" s="207">
        <v>1</v>
      </c>
      <c r="J398" s="187" t="s">
        <v>849</v>
      </c>
      <c r="M398" s="237"/>
      <c r="N398" s="207"/>
      <c r="O398" s="239"/>
      <c r="P398" s="249">
        <v>46213</v>
      </c>
      <c r="Q398" s="254"/>
      <c r="R398" s="209" t="str">
        <f t="shared" si="7"/>
        <v/>
      </c>
      <c r="S398" s="187"/>
      <c r="AA398" s="230">
        <v>1635</v>
      </c>
    </row>
    <row r="399" spans="1:27" ht="18" customHeight="1">
      <c r="A399" s="230"/>
      <c r="B399" s="231"/>
      <c r="C399" s="187"/>
      <c r="D399" s="230"/>
      <c r="E399" s="232"/>
      <c r="F399" s="230"/>
      <c r="G399" s="187"/>
      <c r="H399" s="250"/>
      <c r="J399" s="187"/>
      <c r="M399" s="237"/>
      <c r="N399" s="207"/>
      <c r="O399" s="239"/>
      <c r="P399" s="249"/>
      <c r="Q399" s="254"/>
      <c r="R399" s="209" t="str">
        <f t="shared" si="7"/>
        <v/>
      </c>
      <c r="S399" s="187"/>
    </row>
    <row r="400" spans="1:27" ht="18" customHeight="1">
      <c r="A400" s="230">
        <v>39360</v>
      </c>
      <c r="B400" s="231">
        <v>73291</v>
      </c>
      <c r="C400" s="187" t="s">
        <v>41</v>
      </c>
      <c r="D400" s="230">
        <v>3</v>
      </c>
      <c r="E400" s="232" t="s">
        <v>850</v>
      </c>
      <c r="F400" s="230"/>
      <c r="G400" s="187" t="s">
        <v>229</v>
      </c>
      <c r="H400" s="250">
        <v>46196</v>
      </c>
      <c r="I400" s="207">
        <v>1</v>
      </c>
      <c r="J400" s="187" t="s">
        <v>851</v>
      </c>
      <c r="K400" s="235">
        <v>607</v>
      </c>
      <c r="L400" s="207" t="s">
        <v>852</v>
      </c>
      <c r="M400" s="237"/>
      <c r="N400" s="207"/>
      <c r="O400" s="239"/>
      <c r="P400" s="249">
        <v>46220</v>
      </c>
      <c r="Q400" s="254"/>
      <c r="R400" s="209" t="str">
        <f t="shared" si="7"/>
        <v/>
      </c>
      <c r="S400" s="187"/>
      <c r="AA400" s="230">
        <v>1636</v>
      </c>
    </row>
    <row r="401" spans="1:27" ht="18" customHeight="1">
      <c r="A401" s="230"/>
      <c r="B401" s="231"/>
      <c r="C401" s="187"/>
      <c r="D401" s="230"/>
      <c r="E401" s="232"/>
      <c r="F401" s="230"/>
      <c r="G401" s="187"/>
      <c r="H401" s="250"/>
      <c r="J401" s="187"/>
      <c r="M401" s="237"/>
      <c r="N401" s="207"/>
      <c r="O401" s="239"/>
      <c r="P401" s="249"/>
      <c r="Q401" s="254"/>
      <c r="R401" s="209" t="str">
        <f t="shared" si="7"/>
        <v/>
      </c>
      <c r="S401" s="187"/>
    </row>
    <row r="402" spans="1:27" ht="18" customHeight="1">
      <c r="A402" s="230">
        <v>39361</v>
      </c>
      <c r="B402" s="231">
        <v>73292</v>
      </c>
      <c r="C402" s="187" t="s">
        <v>854</v>
      </c>
      <c r="D402" s="230">
        <v>2</v>
      </c>
      <c r="E402" s="232" t="s">
        <v>855</v>
      </c>
      <c r="F402" s="230"/>
      <c r="G402" s="187" t="s">
        <v>856</v>
      </c>
      <c r="H402" s="250">
        <v>46198</v>
      </c>
      <c r="I402" s="207">
        <v>10</v>
      </c>
      <c r="J402" s="187" t="s">
        <v>857</v>
      </c>
      <c r="K402" s="235">
        <v>32450</v>
      </c>
      <c r="L402" s="207" t="s">
        <v>858</v>
      </c>
      <c r="M402" s="237"/>
      <c r="N402" s="207"/>
      <c r="O402" s="239"/>
      <c r="P402" s="249">
        <v>46268</v>
      </c>
      <c r="Q402" s="254"/>
      <c r="R402" s="209" t="str">
        <f t="shared" si="7"/>
        <v/>
      </c>
      <c r="S402" s="187"/>
      <c r="AA402" s="230">
        <v>1637</v>
      </c>
    </row>
    <row r="403" spans="1:27" ht="18" customHeight="1">
      <c r="A403" s="230"/>
      <c r="B403" s="231"/>
      <c r="C403" s="187"/>
      <c r="D403" s="230"/>
      <c r="E403" s="232"/>
      <c r="F403" s="230"/>
      <c r="G403" s="187"/>
      <c r="H403" s="250"/>
      <c r="J403" s="187"/>
      <c r="M403" s="237"/>
      <c r="N403" s="207"/>
      <c r="O403" s="239"/>
      <c r="P403" s="249"/>
      <c r="Q403" s="254"/>
      <c r="R403" s="209" t="str">
        <f t="shared" si="7"/>
        <v/>
      </c>
      <c r="S403" s="187"/>
    </row>
    <row r="404" spans="1:27" ht="18" customHeight="1">
      <c r="A404" s="230">
        <v>39362</v>
      </c>
      <c r="B404" s="231">
        <v>73293</v>
      </c>
      <c r="C404" s="187" t="s">
        <v>32</v>
      </c>
      <c r="D404" s="230">
        <v>5</v>
      </c>
      <c r="E404" s="232" t="s">
        <v>859</v>
      </c>
      <c r="F404" s="230"/>
      <c r="G404" s="187" t="s">
        <v>542</v>
      </c>
      <c r="H404" s="250">
        <v>46198</v>
      </c>
      <c r="I404" s="207">
        <v>1</v>
      </c>
      <c r="J404" s="187" t="s">
        <v>860</v>
      </c>
      <c r="K404" s="235">
        <v>3488</v>
      </c>
      <c r="M404" s="237"/>
      <c r="N404" s="207"/>
      <c r="O404" s="239"/>
      <c r="P404" s="249">
        <v>46254</v>
      </c>
      <c r="Q404" s="254"/>
      <c r="R404" s="209" t="str">
        <f t="shared" si="7"/>
        <v/>
      </c>
      <c r="S404" s="187"/>
      <c r="AA404" s="230">
        <v>1638</v>
      </c>
    </row>
    <row r="405" spans="1:27" ht="18" customHeight="1">
      <c r="A405" s="230"/>
      <c r="B405" s="231"/>
      <c r="C405" s="187"/>
      <c r="D405" s="230"/>
      <c r="E405" s="232"/>
      <c r="F405" s="230"/>
      <c r="G405" s="187"/>
      <c r="H405" s="250"/>
      <c r="J405" s="187"/>
      <c r="M405" s="237"/>
      <c r="N405" s="207"/>
      <c r="O405" s="239"/>
      <c r="P405" s="249"/>
      <c r="Q405" s="254"/>
      <c r="R405" s="209" t="str">
        <f t="shared" si="7"/>
        <v/>
      </c>
      <c r="S405" s="187"/>
    </row>
    <row r="406" spans="1:27" ht="18" customHeight="1">
      <c r="A406" s="230">
        <v>39363</v>
      </c>
      <c r="B406" s="231">
        <v>73294</v>
      </c>
      <c r="C406" s="187" t="s">
        <v>32</v>
      </c>
      <c r="D406" s="230">
        <v>1</v>
      </c>
      <c r="E406" s="232" t="s">
        <v>863</v>
      </c>
      <c r="F406" s="230"/>
      <c r="G406" s="187" t="s">
        <v>542</v>
      </c>
      <c r="H406" s="250">
        <v>46198</v>
      </c>
      <c r="I406" s="207">
        <v>1</v>
      </c>
      <c r="J406" s="187" t="s">
        <v>864</v>
      </c>
      <c r="M406" s="237"/>
      <c r="N406" s="207"/>
      <c r="O406" s="239"/>
      <c r="P406" s="249">
        <v>46203</v>
      </c>
      <c r="Q406" s="254"/>
      <c r="R406" s="209" t="str">
        <f t="shared" si="7"/>
        <v/>
      </c>
      <c r="S406" s="187"/>
      <c r="AA406" s="230">
        <v>1639</v>
      </c>
    </row>
    <row r="407" spans="1:27" ht="18" customHeight="1">
      <c r="A407" s="230"/>
      <c r="B407" s="231"/>
      <c r="C407" s="187"/>
      <c r="D407" s="230"/>
      <c r="E407" s="232"/>
      <c r="F407" s="230"/>
      <c r="G407" s="187"/>
      <c r="H407" s="250"/>
      <c r="J407" s="187"/>
      <c r="M407" s="237"/>
      <c r="N407" s="207"/>
      <c r="O407" s="239"/>
      <c r="P407" s="249"/>
      <c r="Q407" s="254"/>
      <c r="R407" s="209" t="str">
        <f t="shared" si="7"/>
        <v/>
      </c>
      <c r="S407" s="187"/>
    </row>
    <row r="408" spans="1:27" ht="18" customHeight="1">
      <c r="A408" s="230">
        <v>39364</v>
      </c>
      <c r="B408" s="231">
        <v>73295</v>
      </c>
      <c r="C408" s="187" t="s">
        <v>218</v>
      </c>
      <c r="D408" s="230">
        <v>2</v>
      </c>
      <c r="E408" s="232" t="s">
        <v>868</v>
      </c>
      <c r="F408" s="230"/>
      <c r="G408" s="187" t="s">
        <v>869</v>
      </c>
      <c r="H408" s="250">
        <v>46199</v>
      </c>
      <c r="I408" s="207">
        <v>10</v>
      </c>
      <c r="J408" s="187" t="s">
        <v>870</v>
      </c>
      <c r="K408" s="235">
        <v>1290</v>
      </c>
      <c r="L408" s="207" t="s">
        <v>894</v>
      </c>
      <c r="M408" s="237"/>
      <c r="N408" s="207"/>
      <c r="O408" s="239"/>
      <c r="P408" s="249">
        <v>46213</v>
      </c>
      <c r="Q408" s="254"/>
      <c r="R408" s="209" t="str">
        <f t="shared" si="7"/>
        <v/>
      </c>
      <c r="S408" s="187"/>
      <c r="AA408" s="230">
        <v>1640</v>
      </c>
    </row>
    <row r="409" spans="1:27" ht="18" customHeight="1">
      <c r="A409" s="230">
        <v>39364</v>
      </c>
      <c r="B409" s="401">
        <v>73306</v>
      </c>
      <c r="C409" s="187" t="s">
        <v>218</v>
      </c>
      <c r="D409" s="230">
        <v>1</v>
      </c>
      <c r="E409" s="232" t="s">
        <v>892</v>
      </c>
      <c r="F409" s="230"/>
      <c r="G409" s="187" t="s">
        <v>869</v>
      </c>
      <c r="H409" s="250">
        <v>46211</v>
      </c>
      <c r="I409" s="207">
        <v>20</v>
      </c>
      <c r="J409" s="187" t="s">
        <v>893</v>
      </c>
      <c r="K409" s="235">
        <v>1252</v>
      </c>
      <c r="L409" s="207" t="s">
        <v>894</v>
      </c>
      <c r="M409" s="237"/>
      <c r="N409" s="207"/>
      <c r="O409" s="239"/>
      <c r="P409" s="249">
        <v>46225</v>
      </c>
      <c r="Q409" s="254"/>
      <c r="R409" s="209" t="str">
        <f t="shared" si="7"/>
        <v/>
      </c>
      <c r="S409" s="187"/>
    </row>
    <row r="410" spans="1:27" ht="18" customHeight="1">
      <c r="A410" s="230"/>
      <c r="B410" s="231"/>
      <c r="C410" s="187"/>
      <c r="D410" s="230"/>
      <c r="E410" s="232"/>
      <c r="F410" s="230"/>
      <c r="G410" s="187"/>
      <c r="H410" s="250"/>
      <c r="J410" s="187"/>
      <c r="M410" s="237"/>
      <c r="N410" s="207"/>
      <c r="O410" s="239"/>
      <c r="P410" s="249"/>
      <c r="Q410" s="254"/>
      <c r="R410" s="209" t="str">
        <f t="shared" si="7"/>
        <v/>
      </c>
      <c r="S410" s="187"/>
    </row>
    <row r="411" spans="1:27" ht="18" customHeight="1">
      <c r="A411" s="230">
        <v>39365</v>
      </c>
      <c r="B411" s="231">
        <v>73296</v>
      </c>
      <c r="C411" s="187" t="s">
        <v>41</v>
      </c>
      <c r="D411" s="230">
        <v>1</v>
      </c>
      <c r="E411" s="232" t="s">
        <v>369</v>
      </c>
      <c r="F411" s="230"/>
      <c r="G411" s="187" t="s">
        <v>229</v>
      </c>
      <c r="H411" s="250">
        <v>46199</v>
      </c>
      <c r="I411" s="207">
        <v>1</v>
      </c>
      <c r="J411" s="187" t="s">
        <v>871</v>
      </c>
      <c r="K411" s="235">
        <v>1998</v>
      </c>
      <c r="L411" s="207" t="s">
        <v>904</v>
      </c>
      <c r="M411" s="237"/>
      <c r="N411" s="207"/>
      <c r="O411" s="239"/>
      <c r="P411" s="249">
        <v>46255</v>
      </c>
      <c r="Q411" s="254"/>
      <c r="R411" s="209" t="str">
        <f t="shared" si="7"/>
        <v/>
      </c>
      <c r="S411" s="187"/>
      <c r="AA411" s="230">
        <v>1641</v>
      </c>
    </row>
    <row r="412" spans="1:27" ht="18" customHeight="1">
      <c r="A412" s="230"/>
      <c r="B412" s="231"/>
      <c r="C412" s="187"/>
      <c r="D412" s="230"/>
      <c r="E412" s="232"/>
      <c r="F412" s="230"/>
      <c r="G412" s="187"/>
      <c r="H412" s="250"/>
      <c r="J412" s="187"/>
      <c r="M412" s="237"/>
      <c r="N412" s="207"/>
      <c r="O412" s="239"/>
      <c r="P412" s="249"/>
      <c r="Q412" s="254"/>
      <c r="R412" s="209" t="str">
        <f t="shared" si="7"/>
        <v/>
      </c>
      <c r="S412" s="187"/>
    </row>
    <row r="413" spans="1:27" ht="18" customHeight="1">
      <c r="A413" s="230">
        <v>39366</v>
      </c>
      <c r="B413" s="231">
        <v>73297</v>
      </c>
      <c r="C413" s="187" t="s">
        <v>32</v>
      </c>
      <c r="D413" s="230">
        <v>2</v>
      </c>
      <c r="E413" s="232" t="s">
        <v>259</v>
      </c>
      <c r="F413" s="230"/>
      <c r="G413" s="187" t="s">
        <v>542</v>
      </c>
      <c r="H413" s="250">
        <v>46202</v>
      </c>
      <c r="I413" s="207">
        <v>1</v>
      </c>
      <c r="J413" s="187" t="s">
        <v>872</v>
      </c>
      <c r="M413" s="237">
        <v>45199</v>
      </c>
      <c r="N413" s="207">
        <v>2</v>
      </c>
      <c r="O413" s="239"/>
      <c r="P413" s="249">
        <v>46207</v>
      </c>
      <c r="Q413" s="254">
        <v>46209</v>
      </c>
      <c r="R413" s="209">
        <f t="shared" si="7"/>
        <v>2</v>
      </c>
      <c r="S413" s="187"/>
      <c r="AA413" s="230">
        <v>1642</v>
      </c>
    </row>
    <row r="414" spans="1:27" ht="18" customHeight="1">
      <c r="A414" s="230"/>
      <c r="B414" s="231"/>
      <c r="C414" s="187"/>
      <c r="D414" s="230"/>
      <c r="E414" s="232"/>
      <c r="F414" s="230"/>
      <c r="G414" s="187"/>
      <c r="H414" s="250"/>
      <c r="J414" s="187"/>
      <c r="M414" s="237"/>
      <c r="N414" s="207"/>
      <c r="O414" s="239"/>
      <c r="P414" s="249"/>
      <c r="Q414" s="254"/>
      <c r="R414" s="209" t="str">
        <f t="shared" si="7"/>
        <v/>
      </c>
      <c r="S414" s="187"/>
    </row>
    <row r="415" spans="1:27" ht="18" customHeight="1">
      <c r="A415" s="230">
        <v>39367</v>
      </c>
      <c r="B415" s="231">
        <v>73298</v>
      </c>
      <c r="C415" s="187" t="s">
        <v>41</v>
      </c>
      <c r="D415" s="230">
        <v>3</v>
      </c>
      <c r="E415" s="232" t="s">
        <v>873</v>
      </c>
      <c r="F415" s="230">
        <v>0</v>
      </c>
      <c r="G415" s="187" t="s">
        <v>874</v>
      </c>
      <c r="H415" s="250">
        <v>46202</v>
      </c>
      <c r="I415" s="207">
        <v>1</v>
      </c>
      <c r="J415" s="187" t="s">
        <v>875</v>
      </c>
      <c r="K415" s="235">
        <v>6862</v>
      </c>
      <c r="L415" s="207" t="s">
        <v>876</v>
      </c>
      <c r="M415" s="237"/>
      <c r="N415" s="207"/>
      <c r="O415" s="239"/>
      <c r="P415" s="249">
        <v>46252</v>
      </c>
      <c r="Q415" s="254"/>
      <c r="R415" s="209" t="str">
        <f t="shared" si="7"/>
        <v/>
      </c>
      <c r="S415" s="187"/>
      <c r="AA415" s="230">
        <v>1643</v>
      </c>
    </row>
    <row r="416" spans="1:27" ht="18" customHeight="1">
      <c r="A416" s="230">
        <v>39367</v>
      </c>
      <c r="B416" s="231">
        <v>73298</v>
      </c>
      <c r="C416" s="187" t="s">
        <v>41</v>
      </c>
      <c r="D416" s="230">
        <v>3</v>
      </c>
      <c r="E416" s="232" t="s">
        <v>873</v>
      </c>
      <c r="F416" s="230">
        <v>0</v>
      </c>
      <c r="G416" s="187" t="s">
        <v>874</v>
      </c>
      <c r="H416" s="250">
        <v>46202</v>
      </c>
      <c r="I416" s="207">
        <v>2</v>
      </c>
      <c r="J416" s="187" t="s">
        <v>875</v>
      </c>
      <c r="K416" s="235">
        <v>6862</v>
      </c>
      <c r="L416" s="207" t="s">
        <v>876</v>
      </c>
      <c r="M416" s="237"/>
      <c r="N416" s="207"/>
      <c r="O416" s="239"/>
      <c r="P416" s="249">
        <v>46280</v>
      </c>
      <c r="Q416" s="254"/>
      <c r="R416" s="209" t="str">
        <f t="shared" si="7"/>
        <v/>
      </c>
      <c r="S416" s="187"/>
    </row>
    <row r="417" spans="1:27" ht="18" customHeight="1">
      <c r="A417" s="230"/>
      <c r="B417" s="231"/>
      <c r="C417" s="187"/>
      <c r="D417" s="230"/>
      <c r="E417" s="232"/>
      <c r="F417" s="230"/>
      <c r="G417" s="187"/>
      <c r="H417" s="250"/>
      <c r="J417" s="187"/>
      <c r="M417" s="237"/>
      <c r="N417" s="207"/>
      <c r="O417" s="239"/>
      <c r="P417" s="249"/>
      <c r="Q417" s="254"/>
      <c r="R417" s="209" t="str">
        <f t="shared" si="7"/>
        <v/>
      </c>
      <c r="S417" s="187"/>
    </row>
    <row r="418" spans="1:27" ht="18" customHeight="1">
      <c r="A418" s="230">
        <v>39368</v>
      </c>
      <c r="B418" s="231">
        <v>73299</v>
      </c>
      <c r="C418" s="187" t="s">
        <v>32</v>
      </c>
      <c r="D418" s="230">
        <v>2</v>
      </c>
      <c r="E418" s="232" t="s">
        <v>238</v>
      </c>
      <c r="F418" s="230"/>
      <c r="G418" s="187" t="s">
        <v>834</v>
      </c>
      <c r="H418" s="250">
        <v>46202</v>
      </c>
      <c r="I418" s="207">
        <v>1</v>
      </c>
      <c r="J418" s="187" t="s">
        <v>877</v>
      </c>
      <c r="M418" s="237">
        <v>45200</v>
      </c>
      <c r="N418" s="207">
        <v>2</v>
      </c>
      <c r="O418" s="239"/>
      <c r="P418" s="249">
        <v>46207</v>
      </c>
      <c r="Q418" s="254">
        <v>46209</v>
      </c>
      <c r="R418" s="209">
        <f t="shared" si="7"/>
        <v>2</v>
      </c>
      <c r="S418" s="187"/>
      <c r="AA418" s="230">
        <v>1644</v>
      </c>
    </row>
    <row r="419" spans="1:27" ht="18" customHeight="1">
      <c r="A419" s="230"/>
      <c r="B419" s="231"/>
      <c r="C419" s="187"/>
      <c r="D419" s="230"/>
      <c r="E419" s="232"/>
      <c r="F419" s="230"/>
      <c r="G419" s="187"/>
      <c r="H419" s="250"/>
      <c r="J419" s="187"/>
      <c r="M419" s="237"/>
      <c r="N419" s="207"/>
      <c r="O419" s="239"/>
      <c r="P419" s="249"/>
      <c r="Q419" s="254"/>
      <c r="R419" s="209" t="str">
        <f t="shared" si="7"/>
        <v/>
      </c>
      <c r="S419" s="187"/>
    </row>
    <row r="420" spans="1:27" ht="18" customHeight="1">
      <c r="A420" s="230">
        <v>39369</v>
      </c>
      <c r="B420" s="231">
        <v>73300</v>
      </c>
      <c r="C420" s="187" t="s">
        <v>218</v>
      </c>
      <c r="D420" s="230">
        <v>2</v>
      </c>
      <c r="E420" s="232" t="s">
        <v>878</v>
      </c>
      <c r="F420" s="230"/>
      <c r="G420" s="187" t="s">
        <v>869</v>
      </c>
      <c r="H420" s="250">
        <v>46203</v>
      </c>
      <c r="I420" s="207">
        <v>10</v>
      </c>
      <c r="J420" s="187" t="s">
        <v>879</v>
      </c>
      <c r="K420" s="235">
        <v>180</v>
      </c>
      <c r="L420" s="207" t="s">
        <v>880</v>
      </c>
      <c r="M420" s="237">
        <v>45201</v>
      </c>
      <c r="N420" s="207">
        <v>2</v>
      </c>
      <c r="O420" s="239">
        <v>53437</v>
      </c>
      <c r="P420" s="249">
        <v>46206</v>
      </c>
      <c r="Q420" s="254">
        <v>46209</v>
      </c>
      <c r="R420" s="209">
        <f t="shared" si="7"/>
        <v>3</v>
      </c>
      <c r="S420" s="187"/>
      <c r="AA420" s="230">
        <v>1645</v>
      </c>
    </row>
    <row r="421" spans="1:27" ht="18" customHeight="1">
      <c r="A421" s="230">
        <v>39369</v>
      </c>
      <c r="B421" s="231">
        <v>73301</v>
      </c>
      <c r="C421" s="187" t="s">
        <v>218</v>
      </c>
      <c r="D421" s="230">
        <v>2</v>
      </c>
      <c r="E421" s="232" t="s">
        <v>881</v>
      </c>
      <c r="F421" s="230"/>
      <c r="G421" s="187" t="s">
        <v>869</v>
      </c>
      <c r="H421" s="250">
        <v>46203</v>
      </c>
      <c r="I421" s="207">
        <v>20</v>
      </c>
      <c r="J421" s="187" t="s">
        <v>879</v>
      </c>
      <c r="K421" s="235">
        <v>180</v>
      </c>
      <c r="L421" s="207" t="s">
        <v>880</v>
      </c>
      <c r="M421" s="237">
        <v>45201</v>
      </c>
      <c r="N421" s="207">
        <v>2</v>
      </c>
      <c r="O421" s="239">
        <v>53437</v>
      </c>
      <c r="P421" s="249">
        <v>46206</v>
      </c>
      <c r="Q421" s="254">
        <v>46209</v>
      </c>
      <c r="R421" s="209">
        <f t="shared" si="7"/>
        <v>3</v>
      </c>
      <c r="S421" s="187"/>
    </row>
    <row r="422" spans="1:27" ht="18" customHeight="1">
      <c r="A422" s="230">
        <v>39369</v>
      </c>
      <c r="B422" s="231">
        <v>73302</v>
      </c>
      <c r="C422" s="187" t="s">
        <v>218</v>
      </c>
      <c r="D422" s="230">
        <v>2</v>
      </c>
      <c r="E422" s="232" t="s">
        <v>882</v>
      </c>
      <c r="F422" s="230"/>
      <c r="G422" s="187" t="s">
        <v>869</v>
      </c>
      <c r="H422" s="250">
        <v>46203</v>
      </c>
      <c r="I422" s="207">
        <v>30</v>
      </c>
      <c r="J422" s="187" t="s">
        <v>879</v>
      </c>
      <c r="K422" s="235">
        <v>180</v>
      </c>
      <c r="L422" s="207" t="s">
        <v>880</v>
      </c>
      <c r="M422" s="237">
        <v>45201</v>
      </c>
      <c r="N422" s="207">
        <v>2</v>
      </c>
      <c r="O422" s="239">
        <v>53437</v>
      </c>
      <c r="P422" s="249">
        <v>46206</v>
      </c>
      <c r="Q422" s="254">
        <v>46209</v>
      </c>
      <c r="R422" s="209">
        <f t="shared" ref="R422:R485" si="8">IF(SUM(Q422)&gt;0,SUM(Q422-P422),"")</f>
        <v>3</v>
      </c>
      <c r="S422" s="187"/>
    </row>
    <row r="423" spans="1:27" ht="18" customHeight="1">
      <c r="A423" s="230"/>
      <c r="B423" s="231"/>
      <c r="C423" s="187"/>
      <c r="D423" s="230"/>
      <c r="E423" s="232"/>
      <c r="F423" s="230"/>
      <c r="G423" s="187"/>
      <c r="H423" s="250"/>
      <c r="J423" s="187"/>
      <c r="M423" s="237"/>
      <c r="N423" s="207"/>
      <c r="O423" s="239"/>
      <c r="P423" s="249"/>
      <c r="Q423" s="254"/>
      <c r="R423" s="209" t="str">
        <f t="shared" si="8"/>
        <v/>
      </c>
      <c r="S423" s="187"/>
    </row>
    <row r="424" spans="1:27" ht="18" customHeight="1">
      <c r="A424" s="230">
        <v>39370</v>
      </c>
      <c r="B424" s="231">
        <v>73303</v>
      </c>
      <c r="C424" s="187" t="s">
        <v>4</v>
      </c>
      <c r="D424" s="230">
        <v>2</v>
      </c>
      <c r="E424" s="232" t="s">
        <v>885</v>
      </c>
      <c r="F424" s="230">
        <v>0</v>
      </c>
      <c r="G424" s="187" t="s">
        <v>886</v>
      </c>
      <c r="H424" s="250">
        <v>46210</v>
      </c>
      <c r="I424" s="207">
        <v>10</v>
      </c>
      <c r="J424" s="187" t="s">
        <v>887</v>
      </c>
      <c r="K424" s="235">
        <v>39430</v>
      </c>
      <c r="L424" s="207">
        <v>280111615</v>
      </c>
      <c r="M424" s="237"/>
      <c r="N424" s="207"/>
      <c r="O424" s="239"/>
      <c r="P424" s="249">
        <v>46294</v>
      </c>
      <c r="Q424" s="254"/>
      <c r="R424" s="209" t="str">
        <f t="shared" si="8"/>
        <v/>
      </c>
      <c r="S424" s="187"/>
      <c r="AA424" s="230">
        <v>1646</v>
      </c>
    </row>
    <row r="425" spans="1:27" ht="18" customHeight="1">
      <c r="A425" s="230"/>
      <c r="B425" s="231"/>
      <c r="C425" s="187"/>
      <c r="D425" s="230"/>
      <c r="E425" s="232"/>
      <c r="F425" s="230"/>
      <c r="G425" s="187"/>
      <c r="H425" s="250"/>
      <c r="J425" s="187"/>
      <c r="M425" s="237"/>
      <c r="N425" s="207"/>
      <c r="O425" s="239"/>
      <c r="P425" s="249"/>
      <c r="Q425" s="254"/>
      <c r="R425" s="209" t="str">
        <f t="shared" si="8"/>
        <v/>
      </c>
      <c r="S425" s="187"/>
    </row>
    <row r="426" spans="1:27" ht="18" customHeight="1">
      <c r="A426" s="230">
        <v>39371</v>
      </c>
      <c r="B426" s="231">
        <v>73304</v>
      </c>
      <c r="C426" s="187" t="s">
        <v>213</v>
      </c>
      <c r="D426" s="230" t="s">
        <v>453</v>
      </c>
      <c r="E426" s="232">
        <v>700661419</v>
      </c>
      <c r="F426" s="230" t="s">
        <v>676</v>
      </c>
      <c r="G426" s="187" t="s">
        <v>775</v>
      </c>
      <c r="H426" s="250">
        <v>46211</v>
      </c>
      <c r="I426" s="207" t="s">
        <v>670</v>
      </c>
      <c r="J426" s="187" t="s">
        <v>888</v>
      </c>
      <c r="K426" s="235">
        <v>5685</v>
      </c>
      <c r="L426" s="207" t="s">
        <v>889</v>
      </c>
      <c r="M426" s="237"/>
      <c r="N426" s="207"/>
      <c r="O426" s="239"/>
      <c r="P426" s="249">
        <v>46267</v>
      </c>
      <c r="Q426" s="254"/>
      <c r="R426" s="209" t="str">
        <f t="shared" si="8"/>
        <v/>
      </c>
      <c r="S426" s="187"/>
    </row>
    <row r="427" spans="1:27" ht="18" customHeight="1">
      <c r="A427" s="230">
        <v>39371</v>
      </c>
      <c r="B427" s="231">
        <v>73304</v>
      </c>
      <c r="C427" s="187" t="s">
        <v>213</v>
      </c>
      <c r="D427" s="230">
        <v>1</v>
      </c>
      <c r="E427" s="232">
        <v>700661419</v>
      </c>
      <c r="F427" s="230" t="s">
        <v>676</v>
      </c>
      <c r="G427" s="187" t="s">
        <v>775</v>
      </c>
      <c r="H427" s="250">
        <v>46211</v>
      </c>
      <c r="I427" s="207">
        <v>3</v>
      </c>
      <c r="J427" s="187" t="s">
        <v>888</v>
      </c>
      <c r="K427" s="235">
        <v>6150</v>
      </c>
      <c r="L427" s="207" t="s">
        <v>889</v>
      </c>
      <c r="M427" s="237"/>
      <c r="N427" s="207"/>
      <c r="O427" s="239"/>
      <c r="P427" s="249">
        <v>46253</v>
      </c>
      <c r="Q427" s="254"/>
      <c r="R427" s="209" t="str">
        <f t="shared" si="8"/>
        <v/>
      </c>
      <c r="S427" s="187"/>
    </row>
    <row r="428" spans="1:27" ht="18" customHeight="1">
      <c r="A428" s="230">
        <v>39371</v>
      </c>
      <c r="B428" s="231">
        <v>73305</v>
      </c>
      <c r="C428" s="187" t="s">
        <v>213</v>
      </c>
      <c r="D428" s="230">
        <v>5</v>
      </c>
      <c r="E428" s="232">
        <v>700867010</v>
      </c>
      <c r="F428" s="230" t="s">
        <v>669</v>
      </c>
      <c r="G428" s="187" t="s">
        <v>775</v>
      </c>
      <c r="H428" s="250">
        <v>46211</v>
      </c>
      <c r="I428" s="207" t="s">
        <v>890</v>
      </c>
      <c r="J428" s="187" t="s">
        <v>891</v>
      </c>
      <c r="K428" s="235">
        <v>4397</v>
      </c>
      <c r="L428" s="207" t="s">
        <v>889</v>
      </c>
      <c r="M428" s="237"/>
      <c r="N428" s="207"/>
      <c r="O428" s="239"/>
      <c r="P428" s="249">
        <v>46267</v>
      </c>
      <c r="Q428" s="254"/>
      <c r="R428" s="209" t="str">
        <f t="shared" si="8"/>
        <v/>
      </c>
      <c r="S428" s="187"/>
    </row>
    <row r="429" spans="1:27" ht="18" customHeight="1">
      <c r="A429" s="230">
        <v>39371</v>
      </c>
      <c r="B429" s="231">
        <v>73305</v>
      </c>
      <c r="C429" s="187" t="s">
        <v>213</v>
      </c>
      <c r="D429" s="230">
        <v>1</v>
      </c>
      <c r="E429" s="232">
        <v>700867010</v>
      </c>
      <c r="F429" s="230" t="s">
        <v>669</v>
      </c>
      <c r="G429" s="187" t="s">
        <v>775</v>
      </c>
      <c r="H429" s="250">
        <v>46211</v>
      </c>
      <c r="I429" s="207">
        <v>9</v>
      </c>
      <c r="J429" s="187" t="s">
        <v>891</v>
      </c>
      <c r="K429" s="235">
        <v>4750</v>
      </c>
      <c r="L429" s="207" t="s">
        <v>889</v>
      </c>
      <c r="M429" s="237"/>
      <c r="N429" s="207"/>
      <c r="O429" s="239"/>
      <c r="P429" s="249">
        <v>46253</v>
      </c>
      <c r="Q429" s="254"/>
      <c r="R429" s="209" t="str">
        <f t="shared" si="8"/>
        <v/>
      </c>
      <c r="S429" s="187"/>
    </row>
    <row r="430" spans="1:27" ht="18" customHeight="1">
      <c r="A430" s="230"/>
      <c r="B430" s="231"/>
      <c r="C430" s="187"/>
      <c r="D430" s="230"/>
      <c r="E430" s="232"/>
      <c r="F430" s="230"/>
      <c r="G430" s="187"/>
      <c r="H430" s="250"/>
      <c r="J430" s="187"/>
      <c r="M430" s="237"/>
      <c r="N430" s="207"/>
      <c r="O430" s="239"/>
      <c r="P430" s="249"/>
      <c r="Q430" s="254"/>
      <c r="R430" s="209" t="str">
        <f t="shared" si="8"/>
        <v/>
      </c>
      <c r="S430" s="187"/>
    </row>
    <row r="431" spans="1:27" ht="18" customHeight="1">
      <c r="A431" s="230">
        <v>39372</v>
      </c>
      <c r="B431" s="231">
        <v>73307</v>
      </c>
      <c r="C431" s="187" t="s">
        <v>41</v>
      </c>
      <c r="D431" s="230">
        <v>2</v>
      </c>
      <c r="E431" s="232" t="s">
        <v>896</v>
      </c>
      <c r="F431" s="230">
        <v>1</v>
      </c>
      <c r="G431" s="187" t="s">
        <v>897</v>
      </c>
      <c r="H431" s="250">
        <v>46211</v>
      </c>
      <c r="I431" s="207">
        <v>1</v>
      </c>
      <c r="J431" s="187" t="s">
        <v>898</v>
      </c>
      <c r="K431" s="235">
        <v>1972</v>
      </c>
      <c r="L431" s="207" t="s">
        <v>911</v>
      </c>
      <c r="M431" s="237"/>
      <c r="N431" s="207"/>
      <c r="O431" s="239"/>
      <c r="P431" s="249">
        <v>46254</v>
      </c>
      <c r="Q431" s="254"/>
      <c r="R431" s="209" t="str">
        <f t="shared" si="8"/>
        <v/>
      </c>
      <c r="S431" s="187"/>
      <c r="AA431" s="230">
        <v>1647</v>
      </c>
    </row>
    <row r="432" spans="1:27" ht="18" customHeight="1">
      <c r="A432" s="230"/>
      <c r="B432" s="231"/>
      <c r="C432" s="187"/>
      <c r="D432" s="230"/>
      <c r="E432" s="232"/>
      <c r="F432" s="230"/>
      <c r="G432" s="187"/>
      <c r="H432" s="250"/>
      <c r="J432" s="187"/>
      <c r="M432" s="237"/>
      <c r="N432" s="207"/>
      <c r="O432" s="239"/>
      <c r="P432" s="249"/>
      <c r="Q432" s="254"/>
      <c r="R432" s="209" t="str">
        <f t="shared" si="8"/>
        <v/>
      </c>
      <c r="S432" s="187"/>
    </row>
    <row r="433" spans="1:27" ht="18" customHeight="1">
      <c r="A433" s="230">
        <v>39373</v>
      </c>
      <c r="B433" s="231">
        <v>73308</v>
      </c>
      <c r="C433" s="187" t="s">
        <v>41</v>
      </c>
      <c r="D433" s="230">
        <v>1</v>
      </c>
      <c r="E433" s="232" t="s">
        <v>899</v>
      </c>
      <c r="F433" s="230">
        <v>0</v>
      </c>
      <c r="G433" s="187" t="s">
        <v>229</v>
      </c>
      <c r="H433" s="250">
        <v>46211</v>
      </c>
      <c r="I433" s="207">
        <v>1</v>
      </c>
      <c r="J433" s="187" t="s">
        <v>900</v>
      </c>
      <c r="K433" s="235">
        <v>657.5</v>
      </c>
      <c r="L433" s="207" t="s">
        <v>905</v>
      </c>
      <c r="M433" s="237"/>
      <c r="N433" s="207"/>
      <c r="O433" s="239"/>
      <c r="P433" s="249">
        <v>46247</v>
      </c>
      <c r="Q433" s="254"/>
      <c r="R433" s="209" t="str">
        <f t="shared" si="8"/>
        <v/>
      </c>
      <c r="S433" s="187"/>
      <c r="AA433" s="230">
        <v>1648</v>
      </c>
    </row>
    <row r="434" spans="1:27" ht="18" customHeight="1">
      <c r="A434" s="230"/>
      <c r="B434" s="231"/>
      <c r="C434" s="187"/>
      <c r="D434" s="230"/>
      <c r="E434" s="232"/>
      <c r="F434" s="230"/>
      <c r="G434" s="187"/>
      <c r="H434" s="250"/>
      <c r="J434" s="187"/>
      <c r="M434" s="237"/>
      <c r="N434" s="207"/>
      <c r="O434" s="239"/>
      <c r="P434" s="249"/>
      <c r="Q434" s="254"/>
      <c r="R434" s="209" t="str">
        <f t="shared" si="8"/>
        <v/>
      </c>
      <c r="S434" s="187"/>
    </row>
    <row r="435" spans="1:27" ht="18" customHeight="1">
      <c r="A435" s="230">
        <v>39374</v>
      </c>
      <c r="B435" s="231">
        <v>73309</v>
      </c>
      <c r="C435" s="187" t="s">
        <v>33</v>
      </c>
      <c r="D435" s="230">
        <v>16</v>
      </c>
      <c r="E435" s="232" t="s">
        <v>903</v>
      </c>
      <c r="F435" s="230" t="s">
        <v>901</v>
      </c>
      <c r="G435" s="187" t="s">
        <v>187</v>
      </c>
      <c r="H435" s="250">
        <v>46212</v>
      </c>
      <c r="I435" s="207">
        <v>1</v>
      </c>
      <c r="J435" s="187" t="s">
        <v>902</v>
      </c>
      <c r="K435" s="235">
        <v>660</v>
      </c>
      <c r="L435" s="207">
        <v>20033210</v>
      </c>
      <c r="M435" s="237"/>
      <c r="N435" s="207"/>
      <c r="O435" s="239"/>
      <c r="P435" s="249">
        <v>46246</v>
      </c>
      <c r="Q435" s="254"/>
      <c r="R435" s="209" t="str">
        <f t="shared" si="8"/>
        <v/>
      </c>
      <c r="S435" s="187"/>
      <c r="AA435" s="230">
        <v>1649</v>
      </c>
    </row>
    <row r="436" spans="1:27" ht="18" customHeight="1">
      <c r="A436" s="230"/>
      <c r="B436" s="231"/>
      <c r="C436" s="187"/>
      <c r="D436" s="230"/>
      <c r="E436" s="232"/>
      <c r="F436" s="230"/>
      <c r="G436" s="187"/>
      <c r="H436" s="250"/>
      <c r="J436" s="187"/>
      <c r="M436" s="237"/>
      <c r="N436" s="207"/>
      <c r="O436" s="239"/>
      <c r="P436" s="249"/>
      <c r="Q436" s="254"/>
      <c r="R436" s="209" t="str">
        <f t="shared" si="8"/>
        <v/>
      </c>
      <c r="S436" s="187"/>
    </row>
    <row r="437" spans="1:27" ht="18" customHeight="1">
      <c r="A437" s="230">
        <v>39375</v>
      </c>
      <c r="B437" s="231">
        <v>73310</v>
      </c>
      <c r="C437" s="187" t="s">
        <v>41</v>
      </c>
      <c r="D437" s="230">
        <v>2</v>
      </c>
      <c r="E437" s="232" t="s">
        <v>906</v>
      </c>
      <c r="F437" s="230">
        <v>1</v>
      </c>
      <c r="G437" s="187" t="s">
        <v>265</v>
      </c>
      <c r="H437" s="250">
        <v>46213</v>
      </c>
      <c r="I437" s="207">
        <v>1</v>
      </c>
      <c r="J437" s="187" t="s">
        <v>907</v>
      </c>
      <c r="K437" s="235">
        <v>29565</v>
      </c>
      <c r="L437" s="207" t="s">
        <v>910</v>
      </c>
      <c r="M437" s="237"/>
      <c r="N437" s="207"/>
      <c r="O437" s="239"/>
      <c r="P437" s="249">
        <v>46350</v>
      </c>
      <c r="Q437" s="254"/>
      <c r="R437" s="209" t="str">
        <f t="shared" si="8"/>
        <v/>
      </c>
      <c r="S437" s="187"/>
      <c r="AA437" s="230">
        <v>1650</v>
      </c>
    </row>
    <row r="438" spans="1:27" ht="18" customHeight="1">
      <c r="A438" s="230">
        <v>39375</v>
      </c>
      <c r="B438" s="231">
        <v>73311</v>
      </c>
      <c r="C438" s="187" t="s">
        <v>41</v>
      </c>
      <c r="D438" s="230">
        <v>1</v>
      </c>
      <c r="E438" s="232" t="s">
        <v>908</v>
      </c>
      <c r="F438" s="230">
        <v>0</v>
      </c>
      <c r="G438" s="187" t="s">
        <v>265</v>
      </c>
      <c r="H438" s="250">
        <v>46213</v>
      </c>
      <c r="I438" s="207">
        <v>2</v>
      </c>
      <c r="J438" s="187" t="s">
        <v>909</v>
      </c>
      <c r="K438" s="235">
        <v>207955</v>
      </c>
      <c r="L438" s="207" t="s">
        <v>910</v>
      </c>
      <c r="M438" s="237"/>
      <c r="N438" s="207"/>
      <c r="O438" s="239"/>
      <c r="P438" s="249">
        <v>46350</v>
      </c>
      <c r="Q438" s="254"/>
      <c r="R438" s="209" t="str">
        <f t="shared" si="8"/>
        <v/>
      </c>
      <c r="S438" s="187"/>
      <c r="AA438" s="230">
        <v>1651</v>
      </c>
    </row>
    <row r="439" spans="1:27" ht="18" customHeight="1">
      <c r="A439" s="230"/>
      <c r="B439" s="231"/>
      <c r="C439" s="187"/>
      <c r="D439" s="230"/>
      <c r="E439" s="232"/>
      <c r="F439" s="230"/>
      <c r="G439" s="187"/>
      <c r="H439" s="250"/>
      <c r="J439" s="187"/>
      <c r="M439" s="237"/>
      <c r="N439" s="207"/>
      <c r="O439" s="239"/>
      <c r="P439" s="249"/>
      <c r="Q439" s="254"/>
      <c r="R439" s="209" t="str">
        <f t="shared" si="8"/>
        <v/>
      </c>
      <c r="S439" s="187"/>
    </row>
    <row r="440" spans="1:27" ht="18" customHeight="1">
      <c r="A440" s="230">
        <v>39376</v>
      </c>
      <c r="B440" s="231">
        <v>73312</v>
      </c>
      <c r="C440" s="187" t="s">
        <v>41</v>
      </c>
      <c r="D440" s="230">
        <v>4</v>
      </c>
      <c r="E440" s="232" t="s">
        <v>912</v>
      </c>
      <c r="F440" s="230"/>
      <c r="G440" s="187" t="s">
        <v>229</v>
      </c>
      <c r="H440" s="250">
        <v>46213</v>
      </c>
      <c r="I440" s="207">
        <v>1</v>
      </c>
      <c r="J440" s="187" t="s">
        <v>920</v>
      </c>
      <c r="K440" s="235">
        <v>124</v>
      </c>
      <c r="L440" s="207" t="s">
        <v>914</v>
      </c>
      <c r="M440" s="237"/>
      <c r="N440" s="207"/>
      <c r="O440" s="239"/>
      <c r="P440" s="249">
        <v>46269</v>
      </c>
      <c r="Q440" s="254"/>
      <c r="R440" s="209" t="str">
        <f t="shared" si="8"/>
        <v/>
      </c>
      <c r="S440" s="187"/>
      <c r="AA440" s="230">
        <v>1652</v>
      </c>
    </row>
    <row r="441" spans="1:27" ht="18" customHeight="1">
      <c r="A441" s="230">
        <v>39376</v>
      </c>
      <c r="B441" s="231">
        <v>73313</v>
      </c>
      <c r="C441" s="187" t="s">
        <v>41</v>
      </c>
      <c r="D441" s="230">
        <v>1</v>
      </c>
      <c r="E441" s="232" t="s">
        <v>913</v>
      </c>
      <c r="F441" s="230"/>
      <c r="G441" s="187" t="s">
        <v>229</v>
      </c>
      <c r="H441" s="250">
        <v>46213</v>
      </c>
      <c r="I441" s="207">
        <v>2</v>
      </c>
      <c r="J441" s="187" t="s">
        <v>919</v>
      </c>
      <c r="K441" s="235">
        <v>124</v>
      </c>
      <c r="L441" s="207" t="s">
        <v>914</v>
      </c>
      <c r="M441" s="237"/>
      <c r="N441" s="207"/>
      <c r="O441" s="239"/>
      <c r="P441" s="249"/>
      <c r="Q441" s="254"/>
      <c r="R441" s="209" t="str">
        <f t="shared" si="8"/>
        <v/>
      </c>
      <c r="S441" s="187"/>
    </row>
    <row r="442" spans="1:27" ht="18" customHeight="1">
      <c r="A442" s="230">
        <v>39376</v>
      </c>
      <c r="B442" s="231">
        <v>73314</v>
      </c>
      <c r="C442" s="187" t="s">
        <v>41</v>
      </c>
      <c r="D442" s="230" t="s">
        <v>915</v>
      </c>
      <c r="E442" s="232" t="s">
        <v>916</v>
      </c>
      <c r="F442" s="230"/>
      <c r="G442" s="187" t="s">
        <v>229</v>
      </c>
      <c r="H442" s="250">
        <f t="shared" ref="H442:H445" si="9">$H$441</f>
        <v>46213</v>
      </c>
      <c r="I442" s="207" t="s">
        <v>917</v>
      </c>
      <c r="J442" s="187" t="s">
        <v>918</v>
      </c>
      <c r="K442" s="235" t="s">
        <v>921</v>
      </c>
      <c r="L442" s="207" t="s">
        <v>914</v>
      </c>
      <c r="M442" s="237"/>
      <c r="N442" s="207"/>
      <c r="O442" s="239"/>
      <c r="P442" s="249"/>
      <c r="Q442" s="254"/>
      <c r="R442" s="209" t="str">
        <f t="shared" si="8"/>
        <v/>
      </c>
      <c r="S442" s="187"/>
    </row>
    <row r="443" spans="1:27" ht="18" customHeight="1">
      <c r="A443" s="230">
        <v>39376</v>
      </c>
      <c r="B443" s="231">
        <v>73315</v>
      </c>
      <c r="C443" s="187" t="s">
        <v>41</v>
      </c>
      <c r="D443" s="230" t="s">
        <v>922</v>
      </c>
      <c r="E443" s="232" t="s">
        <v>923</v>
      </c>
      <c r="F443" s="230"/>
      <c r="G443" s="187" t="s">
        <v>229</v>
      </c>
      <c r="H443" s="250">
        <f t="shared" si="9"/>
        <v>46213</v>
      </c>
      <c r="I443" s="207" t="s">
        <v>924</v>
      </c>
      <c r="J443" s="187" t="s">
        <v>918</v>
      </c>
      <c r="K443" s="235" t="s">
        <v>925</v>
      </c>
      <c r="L443" s="207" t="s">
        <v>914</v>
      </c>
      <c r="M443" s="237"/>
      <c r="N443" s="207"/>
      <c r="O443" s="239"/>
      <c r="P443" s="249"/>
      <c r="Q443" s="254"/>
      <c r="R443" s="209" t="str">
        <f t="shared" si="8"/>
        <v/>
      </c>
      <c r="S443" s="187"/>
    </row>
    <row r="444" spans="1:27" ht="18" customHeight="1">
      <c r="A444" s="230">
        <v>39376</v>
      </c>
      <c r="B444" s="231">
        <v>73316</v>
      </c>
      <c r="C444" s="187" t="s">
        <v>41</v>
      </c>
      <c r="D444" s="230">
        <v>6</v>
      </c>
      <c r="E444" s="232" t="s">
        <v>926</v>
      </c>
      <c r="F444" s="230"/>
      <c r="G444" s="187" t="s">
        <v>229</v>
      </c>
      <c r="H444" s="250">
        <f t="shared" si="9"/>
        <v>46213</v>
      </c>
      <c r="I444" s="207">
        <v>7</v>
      </c>
      <c r="J444" s="187" t="s">
        <v>927</v>
      </c>
      <c r="K444" s="235">
        <v>195</v>
      </c>
      <c r="L444" s="207" t="s">
        <v>914</v>
      </c>
      <c r="M444" s="237"/>
      <c r="N444" s="207"/>
      <c r="O444" s="239"/>
      <c r="P444" s="249"/>
      <c r="Q444" s="254"/>
      <c r="R444" s="209" t="str">
        <f t="shared" si="8"/>
        <v/>
      </c>
      <c r="S444" s="187"/>
    </row>
    <row r="445" spans="1:27" ht="18" customHeight="1">
      <c r="A445" s="230">
        <v>39376</v>
      </c>
      <c r="B445" s="231">
        <v>73317</v>
      </c>
      <c r="C445" s="187" t="s">
        <v>41</v>
      </c>
      <c r="D445" s="230">
        <v>4</v>
      </c>
      <c r="E445" s="232" t="s">
        <v>928</v>
      </c>
      <c r="F445" s="230"/>
      <c r="G445" s="187" t="s">
        <v>229</v>
      </c>
      <c r="H445" s="250">
        <f t="shared" si="9"/>
        <v>46213</v>
      </c>
      <c r="I445" s="207">
        <v>8</v>
      </c>
      <c r="J445" s="187" t="s">
        <v>927</v>
      </c>
      <c r="K445" s="235">
        <v>195</v>
      </c>
      <c r="L445" s="207" t="s">
        <v>914</v>
      </c>
      <c r="M445" s="237"/>
      <c r="N445" s="207"/>
      <c r="O445" s="239"/>
      <c r="P445" s="249"/>
      <c r="Q445" s="254"/>
      <c r="R445" s="209" t="str">
        <f t="shared" si="8"/>
        <v/>
      </c>
      <c r="S445" s="187"/>
    </row>
    <row r="446" spans="1:27" ht="18" customHeight="1">
      <c r="A446" s="230"/>
      <c r="B446" s="231"/>
      <c r="C446" s="187"/>
      <c r="D446" s="230"/>
      <c r="E446" s="232"/>
      <c r="F446" s="230"/>
      <c r="G446" s="187"/>
      <c r="H446" s="250"/>
      <c r="J446" s="187"/>
      <c r="M446" s="237"/>
      <c r="N446" s="207"/>
      <c r="O446" s="239"/>
      <c r="P446" s="249"/>
      <c r="Q446" s="254"/>
      <c r="R446" s="209" t="str">
        <f t="shared" si="8"/>
        <v/>
      </c>
      <c r="S446" s="187"/>
    </row>
    <row r="447" spans="1:27" ht="18" customHeight="1">
      <c r="A447" s="230">
        <v>39377</v>
      </c>
      <c r="B447" s="231">
        <v>73318</v>
      </c>
      <c r="C447" s="187" t="s">
        <v>32</v>
      </c>
      <c r="D447" s="230">
        <v>60</v>
      </c>
      <c r="E447" s="232" t="s">
        <v>629</v>
      </c>
      <c r="F447" s="230"/>
      <c r="G447" s="187" t="s">
        <v>929</v>
      </c>
      <c r="H447" s="250">
        <v>46213</v>
      </c>
      <c r="I447" s="207">
        <v>1</v>
      </c>
      <c r="J447" s="187" t="s">
        <v>930</v>
      </c>
      <c r="M447" s="237"/>
      <c r="N447" s="207"/>
      <c r="O447" s="239"/>
      <c r="P447" s="249">
        <v>46218</v>
      </c>
      <c r="Q447" s="254"/>
      <c r="R447" s="209" t="str">
        <f t="shared" si="8"/>
        <v/>
      </c>
      <c r="S447" s="187"/>
      <c r="AA447" s="230">
        <v>1653</v>
      </c>
    </row>
    <row r="448" spans="1:27" ht="18" customHeight="1">
      <c r="A448" s="230"/>
      <c r="B448" s="231"/>
      <c r="C448" s="187"/>
      <c r="D448" s="230"/>
      <c r="E448" s="232"/>
      <c r="F448" s="230"/>
      <c r="G448" s="187"/>
      <c r="H448" s="250"/>
      <c r="J448" s="187"/>
      <c r="M448" s="237"/>
      <c r="N448" s="207"/>
      <c r="O448" s="239"/>
      <c r="P448" s="249"/>
      <c r="Q448" s="254"/>
      <c r="R448" s="209" t="str">
        <f t="shared" si="8"/>
        <v/>
      </c>
      <c r="S448" s="187"/>
    </row>
    <row r="449" spans="1:27" ht="18" customHeight="1">
      <c r="A449" s="237" t="s">
        <v>266</v>
      </c>
      <c r="B449" s="231">
        <v>73319</v>
      </c>
      <c r="C449" s="187" t="s">
        <v>109</v>
      </c>
      <c r="D449" s="230">
        <v>1</v>
      </c>
      <c r="E449" s="232" t="s">
        <v>931</v>
      </c>
      <c r="F449" s="230"/>
      <c r="G449" s="187" t="s">
        <v>932</v>
      </c>
      <c r="H449" s="250">
        <v>46213</v>
      </c>
      <c r="I449" s="207">
        <v>1</v>
      </c>
      <c r="J449" s="187" t="s">
        <v>933</v>
      </c>
      <c r="K449" s="235">
        <v>1440</v>
      </c>
      <c r="M449" s="237"/>
      <c r="N449" s="207"/>
      <c r="O449" s="239"/>
      <c r="P449" s="249">
        <v>46227</v>
      </c>
      <c r="Q449" s="254"/>
      <c r="R449" s="209" t="str">
        <f t="shared" si="8"/>
        <v/>
      </c>
      <c r="S449" s="187"/>
      <c r="AA449" s="230">
        <v>1654</v>
      </c>
    </row>
    <row r="450" spans="1:27" ht="18" customHeight="1">
      <c r="A450" s="237" t="s">
        <v>266</v>
      </c>
      <c r="B450" s="231">
        <v>73320</v>
      </c>
      <c r="C450" s="187" t="s">
        <v>109</v>
      </c>
      <c r="D450" s="230">
        <v>1</v>
      </c>
      <c r="E450" s="232" t="s">
        <v>931</v>
      </c>
      <c r="F450" s="230"/>
      <c r="G450" s="187" t="s">
        <v>932</v>
      </c>
      <c r="H450" s="250">
        <v>46213</v>
      </c>
      <c r="I450" s="207">
        <v>2</v>
      </c>
      <c r="J450" s="187" t="s">
        <v>934</v>
      </c>
      <c r="K450" s="235">
        <v>1320</v>
      </c>
      <c r="M450" s="237"/>
      <c r="N450" s="207"/>
      <c r="O450" s="239"/>
      <c r="P450" s="249">
        <v>46227</v>
      </c>
      <c r="Q450" s="254"/>
      <c r="R450" s="209" t="str">
        <f t="shared" si="8"/>
        <v/>
      </c>
      <c r="S450" s="187"/>
      <c r="AA450" s="230">
        <v>1655</v>
      </c>
    </row>
    <row r="451" spans="1:27" ht="18" customHeight="1">
      <c r="A451" s="230">
        <v>39377</v>
      </c>
      <c r="B451" s="231"/>
      <c r="C451" s="187"/>
      <c r="D451" s="230"/>
      <c r="E451" s="232"/>
      <c r="F451" s="230"/>
      <c r="G451" s="187"/>
      <c r="H451" s="250"/>
      <c r="J451" s="187"/>
      <c r="M451" s="237"/>
      <c r="N451" s="207"/>
      <c r="O451" s="239"/>
      <c r="P451" s="249"/>
      <c r="Q451" s="254"/>
      <c r="R451" s="209" t="str">
        <f t="shared" si="8"/>
        <v/>
      </c>
      <c r="S451" s="187"/>
    </row>
    <row r="452" spans="1:27" ht="18" customHeight="1">
      <c r="A452" s="230"/>
      <c r="B452" s="231"/>
      <c r="C452" s="187"/>
      <c r="D452" s="230"/>
      <c r="E452" s="232"/>
      <c r="F452" s="230"/>
      <c r="G452" s="187"/>
      <c r="H452" s="250"/>
      <c r="J452" s="187"/>
      <c r="M452" s="237"/>
      <c r="N452" s="207"/>
      <c r="O452" s="239"/>
      <c r="P452" s="249"/>
      <c r="Q452" s="254"/>
      <c r="R452" s="209" t="str">
        <f t="shared" si="8"/>
        <v/>
      </c>
      <c r="S452" s="187"/>
    </row>
    <row r="453" spans="1:27" ht="18" customHeight="1">
      <c r="A453" s="230"/>
      <c r="B453" s="231"/>
      <c r="C453" s="187"/>
      <c r="D453" s="230"/>
      <c r="E453" s="232"/>
      <c r="F453" s="230"/>
      <c r="G453" s="187"/>
      <c r="H453" s="250"/>
      <c r="J453" s="187"/>
      <c r="M453" s="237"/>
      <c r="N453" s="207"/>
      <c r="O453" s="239"/>
      <c r="P453" s="249"/>
      <c r="Q453" s="254"/>
      <c r="R453" s="209" t="str">
        <f t="shared" si="8"/>
        <v/>
      </c>
      <c r="S453" s="187"/>
    </row>
    <row r="454" spans="1:27" ht="18" customHeight="1">
      <c r="A454" s="230"/>
      <c r="B454" s="231"/>
      <c r="C454" s="187"/>
      <c r="D454" s="230"/>
      <c r="E454" s="232"/>
      <c r="F454" s="230"/>
      <c r="G454" s="187"/>
      <c r="H454" s="250"/>
      <c r="J454" s="187"/>
      <c r="M454" s="237"/>
      <c r="N454" s="207"/>
      <c r="O454" s="239"/>
      <c r="P454" s="249"/>
      <c r="Q454" s="254"/>
      <c r="R454" s="209" t="str">
        <f t="shared" si="8"/>
        <v/>
      </c>
      <c r="S454" s="187"/>
    </row>
    <row r="455" spans="1:27" ht="18" customHeight="1">
      <c r="A455" s="230"/>
      <c r="B455" s="231"/>
      <c r="C455" s="187"/>
      <c r="D455" s="230"/>
      <c r="E455" s="232"/>
      <c r="F455" s="230"/>
      <c r="G455" s="187"/>
      <c r="H455" s="250"/>
      <c r="J455" s="187"/>
      <c r="M455" s="237"/>
      <c r="N455" s="207"/>
      <c r="O455" s="239"/>
      <c r="P455" s="249"/>
      <c r="Q455" s="254"/>
      <c r="R455" s="209" t="str">
        <f t="shared" si="8"/>
        <v/>
      </c>
      <c r="S455" s="187"/>
    </row>
    <row r="456" spans="1:27" ht="18" customHeight="1">
      <c r="A456" s="230"/>
      <c r="B456" s="231"/>
      <c r="C456" s="187"/>
      <c r="D456" s="230"/>
      <c r="E456" s="232"/>
      <c r="F456" s="230"/>
      <c r="G456" s="187"/>
      <c r="H456" s="250"/>
      <c r="J456" s="187"/>
      <c r="M456" s="237"/>
      <c r="N456" s="207"/>
      <c r="O456" s="239"/>
      <c r="P456" s="249"/>
      <c r="Q456" s="254"/>
      <c r="R456" s="209" t="str">
        <f t="shared" si="8"/>
        <v/>
      </c>
      <c r="S456" s="187"/>
    </row>
    <row r="457" spans="1:27" ht="18" customHeight="1">
      <c r="A457" s="230"/>
      <c r="B457" s="231"/>
      <c r="C457" s="187"/>
      <c r="D457" s="230"/>
      <c r="E457" s="232"/>
      <c r="F457" s="230"/>
      <c r="G457" s="187"/>
      <c r="H457" s="250"/>
      <c r="J457" s="187"/>
      <c r="M457" s="237"/>
      <c r="N457" s="207"/>
      <c r="O457" s="239"/>
      <c r="P457" s="249"/>
      <c r="Q457" s="254"/>
      <c r="R457" s="209" t="str">
        <f t="shared" si="8"/>
        <v/>
      </c>
      <c r="S457" s="187"/>
    </row>
    <row r="458" spans="1:27" ht="18" customHeight="1">
      <c r="A458" s="230"/>
      <c r="B458" s="231"/>
      <c r="C458" s="187"/>
      <c r="D458" s="230"/>
      <c r="E458" s="232"/>
      <c r="F458" s="230"/>
      <c r="G458" s="187"/>
      <c r="H458" s="250"/>
      <c r="J458" s="187"/>
      <c r="M458" s="237"/>
      <c r="N458" s="207"/>
      <c r="O458" s="239"/>
      <c r="P458" s="249"/>
      <c r="Q458" s="254"/>
      <c r="R458" s="209" t="str">
        <f t="shared" si="8"/>
        <v/>
      </c>
      <c r="S458" s="187"/>
    </row>
    <row r="459" spans="1:27" ht="18" customHeight="1">
      <c r="A459" s="230"/>
      <c r="B459" s="231"/>
      <c r="C459" s="187"/>
      <c r="D459" s="230"/>
      <c r="E459" s="232"/>
      <c r="F459" s="230"/>
      <c r="G459" s="187"/>
      <c r="H459" s="250"/>
      <c r="J459" s="187"/>
      <c r="M459" s="237"/>
      <c r="N459" s="207"/>
      <c r="O459" s="239"/>
      <c r="P459" s="249"/>
      <c r="Q459" s="254"/>
      <c r="R459" s="209" t="str">
        <f t="shared" si="8"/>
        <v/>
      </c>
      <c r="S459" s="187"/>
    </row>
    <row r="460" spans="1:27" ht="18" customHeight="1">
      <c r="A460" s="230"/>
      <c r="B460" s="231"/>
      <c r="C460" s="187"/>
      <c r="D460" s="230"/>
      <c r="E460" s="232"/>
      <c r="F460" s="230"/>
      <c r="G460" s="187"/>
      <c r="H460" s="250"/>
      <c r="J460" s="187"/>
      <c r="M460" s="237"/>
      <c r="N460" s="207"/>
      <c r="O460" s="239"/>
      <c r="P460" s="249"/>
      <c r="Q460" s="254"/>
      <c r="R460" s="209" t="str">
        <f t="shared" si="8"/>
        <v/>
      </c>
      <c r="S460" s="187"/>
    </row>
    <row r="461" spans="1:27" ht="18" customHeight="1">
      <c r="A461" s="230"/>
      <c r="B461" s="231"/>
      <c r="C461" s="187"/>
      <c r="D461" s="230"/>
      <c r="E461" s="232"/>
      <c r="F461" s="230"/>
      <c r="G461" s="187"/>
      <c r="H461" s="250"/>
      <c r="J461" s="187"/>
      <c r="M461" s="237"/>
      <c r="N461" s="207"/>
      <c r="O461" s="239"/>
      <c r="P461" s="249"/>
      <c r="Q461" s="254"/>
      <c r="R461" s="209" t="str">
        <f t="shared" si="8"/>
        <v/>
      </c>
      <c r="S461" s="187"/>
    </row>
    <row r="462" spans="1:27" ht="18" customHeight="1">
      <c r="A462" s="230"/>
      <c r="B462" s="231"/>
      <c r="C462" s="187"/>
      <c r="D462" s="230"/>
      <c r="E462" s="232"/>
      <c r="F462" s="230"/>
      <c r="G462" s="187"/>
      <c r="H462" s="250"/>
      <c r="J462" s="187"/>
      <c r="M462" s="237"/>
      <c r="N462" s="207"/>
      <c r="O462" s="239"/>
      <c r="P462" s="249"/>
      <c r="Q462" s="254"/>
      <c r="R462" s="209" t="str">
        <f t="shared" si="8"/>
        <v/>
      </c>
      <c r="S462" s="187"/>
    </row>
    <row r="463" spans="1:27" ht="18" customHeight="1">
      <c r="A463" s="230"/>
      <c r="B463" s="231"/>
      <c r="C463" s="187"/>
      <c r="D463" s="230"/>
      <c r="E463" s="232"/>
      <c r="F463" s="230"/>
      <c r="G463" s="187"/>
      <c r="H463" s="250"/>
      <c r="J463" s="187"/>
      <c r="M463" s="237"/>
      <c r="N463" s="207"/>
      <c r="O463" s="239"/>
      <c r="P463" s="249"/>
      <c r="Q463" s="254"/>
      <c r="R463" s="209" t="str">
        <f t="shared" si="8"/>
        <v/>
      </c>
      <c r="S463" s="187"/>
    </row>
    <row r="464" spans="1:27" ht="18" customHeight="1">
      <c r="A464" s="230"/>
      <c r="B464" s="231"/>
      <c r="C464" s="187"/>
      <c r="D464" s="230"/>
      <c r="E464" s="232"/>
      <c r="F464" s="230"/>
      <c r="G464" s="187"/>
      <c r="H464" s="250"/>
      <c r="J464" s="187"/>
      <c r="M464" s="237"/>
      <c r="N464" s="207"/>
      <c r="O464" s="239"/>
      <c r="P464" s="249"/>
      <c r="Q464" s="254"/>
      <c r="R464" s="209" t="str">
        <f t="shared" si="8"/>
        <v/>
      </c>
      <c r="S464" s="187"/>
    </row>
    <row r="465" spans="1:19" ht="18" customHeight="1">
      <c r="A465" s="230"/>
      <c r="B465" s="231"/>
      <c r="C465" s="187"/>
      <c r="D465" s="230"/>
      <c r="E465" s="232"/>
      <c r="F465" s="230"/>
      <c r="G465" s="187"/>
      <c r="H465" s="250"/>
      <c r="J465" s="187"/>
      <c r="M465" s="237"/>
      <c r="N465" s="207"/>
      <c r="O465" s="239"/>
      <c r="P465" s="249"/>
      <c r="Q465" s="254"/>
      <c r="R465" s="209" t="str">
        <f t="shared" si="8"/>
        <v/>
      </c>
      <c r="S465" s="187"/>
    </row>
    <row r="466" spans="1:19" ht="18" customHeight="1">
      <c r="A466" s="230"/>
      <c r="B466" s="231"/>
      <c r="C466" s="187"/>
      <c r="D466" s="230"/>
      <c r="E466" s="232"/>
      <c r="F466" s="230"/>
      <c r="G466" s="187"/>
      <c r="H466" s="250"/>
      <c r="J466" s="187"/>
      <c r="M466" s="237"/>
      <c r="N466" s="207"/>
      <c r="O466" s="239"/>
      <c r="P466" s="249"/>
      <c r="Q466" s="254"/>
      <c r="R466" s="209" t="str">
        <f t="shared" si="8"/>
        <v/>
      </c>
      <c r="S466" s="187"/>
    </row>
    <row r="467" spans="1:19" ht="18" customHeight="1">
      <c r="A467" s="230"/>
      <c r="B467" s="231"/>
      <c r="C467" s="187"/>
      <c r="D467" s="230"/>
      <c r="E467" s="232"/>
      <c r="F467" s="230"/>
      <c r="G467" s="187"/>
      <c r="H467" s="250"/>
      <c r="J467" s="187"/>
      <c r="M467" s="237"/>
      <c r="N467" s="207"/>
      <c r="O467" s="239"/>
      <c r="P467" s="249"/>
      <c r="Q467" s="254"/>
      <c r="R467" s="209" t="str">
        <f t="shared" si="8"/>
        <v/>
      </c>
      <c r="S467" s="187"/>
    </row>
    <row r="468" spans="1:19" ht="18" customHeight="1">
      <c r="A468" s="230"/>
      <c r="B468" s="231"/>
      <c r="C468" s="187"/>
      <c r="D468" s="230"/>
      <c r="E468" s="232"/>
      <c r="F468" s="230"/>
      <c r="G468" s="187"/>
      <c r="H468" s="250"/>
      <c r="J468" s="187"/>
      <c r="M468" s="237"/>
      <c r="N468" s="207"/>
      <c r="O468" s="239"/>
      <c r="P468" s="249"/>
      <c r="Q468" s="254"/>
      <c r="R468" s="209" t="str">
        <f t="shared" si="8"/>
        <v/>
      </c>
      <c r="S468" s="187"/>
    </row>
    <row r="469" spans="1:19" ht="18" customHeight="1">
      <c r="A469" s="230"/>
      <c r="B469" s="231"/>
      <c r="C469" s="187"/>
      <c r="D469" s="230"/>
      <c r="E469" s="232"/>
      <c r="F469" s="230"/>
      <c r="G469" s="187"/>
      <c r="H469" s="250"/>
      <c r="J469" s="187"/>
      <c r="M469" s="237"/>
      <c r="N469" s="207"/>
      <c r="O469" s="239"/>
      <c r="P469" s="249"/>
      <c r="Q469" s="254"/>
      <c r="R469" s="209" t="str">
        <f t="shared" si="8"/>
        <v/>
      </c>
      <c r="S469" s="187"/>
    </row>
    <row r="470" spans="1:19" ht="18" customHeight="1">
      <c r="A470" s="230"/>
      <c r="B470" s="231"/>
      <c r="C470" s="187"/>
      <c r="D470" s="230"/>
      <c r="E470" s="232"/>
      <c r="F470" s="230"/>
      <c r="G470" s="187"/>
      <c r="H470" s="250"/>
      <c r="J470" s="187"/>
      <c r="M470" s="237"/>
      <c r="N470" s="207"/>
      <c r="O470" s="239"/>
      <c r="P470" s="249"/>
      <c r="Q470" s="254"/>
      <c r="R470" s="209" t="str">
        <f t="shared" si="8"/>
        <v/>
      </c>
      <c r="S470" s="187"/>
    </row>
    <row r="471" spans="1:19" ht="18" customHeight="1">
      <c r="A471" s="230"/>
      <c r="B471" s="231"/>
      <c r="C471" s="187"/>
      <c r="D471" s="230"/>
      <c r="E471" s="232"/>
      <c r="F471" s="230"/>
      <c r="G471" s="187"/>
      <c r="H471" s="250"/>
      <c r="J471" s="187"/>
      <c r="M471" s="237"/>
      <c r="N471" s="207"/>
      <c r="O471" s="239"/>
      <c r="P471" s="249"/>
      <c r="Q471" s="254"/>
      <c r="R471" s="209" t="str">
        <f t="shared" si="8"/>
        <v/>
      </c>
      <c r="S471" s="187"/>
    </row>
    <row r="472" spans="1:19" ht="18" customHeight="1">
      <c r="A472" s="230"/>
      <c r="B472" s="231"/>
      <c r="C472" s="187"/>
      <c r="D472" s="230"/>
      <c r="E472" s="232"/>
      <c r="F472" s="230"/>
      <c r="G472" s="187"/>
      <c r="H472" s="250"/>
      <c r="J472" s="187"/>
      <c r="M472" s="237"/>
      <c r="N472" s="207"/>
      <c r="O472" s="239"/>
      <c r="P472" s="249"/>
      <c r="Q472" s="254"/>
      <c r="R472" s="209" t="str">
        <f t="shared" si="8"/>
        <v/>
      </c>
      <c r="S472" s="187"/>
    </row>
    <row r="473" spans="1:19" ht="18" customHeight="1">
      <c r="A473" s="230"/>
      <c r="B473" s="231"/>
      <c r="C473" s="187"/>
      <c r="D473" s="230"/>
      <c r="E473" s="232"/>
      <c r="F473" s="230"/>
      <c r="G473" s="187"/>
      <c r="H473" s="250"/>
      <c r="J473" s="187"/>
      <c r="M473" s="237"/>
      <c r="N473" s="207"/>
      <c r="O473" s="239"/>
      <c r="P473" s="249"/>
      <c r="Q473" s="254"/>
      <c r="R473" s="209" t="str">
        <f t="shared" si="8"/>
        <v/>
      </c>
      <c r="S473" s="187"/>
    </row>
    <row r="474" spans="1:19" ht="18" customHeight="1">
      <c r="A474" s="230"/>
      <c r="B474" s="231"/>
      <c r="C474" s="187"/>
      <c r="D474" s="230"/>
      <c r="E474" s="232"/>
      <c r="F474" s="230"/>
      <c r="G474" s="187"/>
      <c r="H474" s="250"/>
      <c r="J474" s="187"/>
      <c r="M474" s="237"/>
      <c r="N474" s="207"/>
      <c r="O474" s="239"/>
      <c r="P474" s="249"/>
      <c r="Q474" s="254"/>
      <c r="R474" s="209" t="str">
        <f t="shared" si="8"/>
        <v/>
      </c>
      <c r="S474" s="187"/>
    </row>
    <row r="475" spans="1:19" ht="18" customHeight="1">
      <c r="A475" s="230"/>
      <c r="B475" s="231"/>
      <c r="C475" s="187"/>
      <c r="D475" s="230"/>
      <c r="E475" s="232"/>
      <c r="F475" s="230"/>
      <c r="G475" s="187"/>
      <c r="H475" s="250"/>
      <c r="J475" s="187"/>
      <c r="M475" s="237"/>
      <c r="N475" s="207"/>
      <c r="O475" s="239"/>
      <c r="P475" s="249"/>
      <c r="Q475" s="254"/>
      <c r="R475" s="209" t="str">
        <f t="shared" si="8"/>
        <v/>
      </c>
      <c r="S475" s="187"/>
    </row>
    <row r="476" spans="1:19" ht="18" customHeight="1">
      <c r="A476" s="230"/>
      <c r="B476" s="231"/>
      <c r="C476" s="187"/>
      <c r="D476" s="230"/>
      <c r="E476" s="232"/>
      <c r="F476" s="230"/>
      <c r="G476" s="187"/>
      <c r="H476" s="250"/>
      <c r="J476" s="187"/>
      <c r="M476" s="237"/>
      <c r="N476" s="207"/>
      <c r="O476" s="239"/>
      <c r="P476" s="249"/>
      <c r="Q476" s="254"/>
      <c r="R476" s="209" t="str">
        <f t="shared" si="8"/>
        <v/>
      </c>
      <c r="S476" s="187"/>
    </row>
    <row r="477" spans="1:19" ht="18" customHeight="1">
      <c r="A477" s="230"/>
      <c r="B477" s="231"/>
      <c r="C477" s="187"/>
      <c r="D477" s="230"/>
      <c r="E477" s="232"/>
      <c r="F477" s="230"/>
      <c r="G477" s="187"/>
      <c r="H477" s="250"/>
      <c r="J477" s="187"/>
      <c r="M477" s="237"/>
      <c r="N477" s="207"/>
      <c r="O477" s="239"/>
      <c r="P477" s="249"/>
      <c r="Q477" s="254"/>
      <c r="R477" s="209" t="str">
        <f t="shared" si="8"/>
        <v/>
      </c>
      <c r="S477" s="187"/>
    </row>
    <row r="478" spans="1:19" ht="18" customHeight="1">
      <c r="A478" s="230"/>
      <c r="B478" s="231"/>
      <c r="C478" s="187"/>
      <c r="D478" s="230"/>
      <c r="E478" s="232"/>
      <c r="F478" s="230"/>
      <c r="G478" s="187"/>
      <c r="H478" s="250"/>
      <c r="J478" s="187"/>
      <c r="M478" s="237"/>
      <c r="N478" s="207"/>
      <c r="O478" s="239"/>
      <c r="P478" s="249"/>
      <c r="Q478" s="254"/>
      <c r="R478" s="209" t="str">
        <f t="shared" si="8"/>
        <v/>
      </c>
      <c r="S478" s="187"/>
    </row>
    <row r="479" spans="1:19" ht="18" customHeight="1">
      <c r="A479" s="230"/>
      <c r="B479" s="231"/>
      <c r="C479" s="187"/>
      <c r="D479" s="230"/>
      <c r="E479" s="232"/>
      <c r="F479" s="230"/>
      <c r="G479" s="187"/>
      <c r="H479" s="250"/>
      <c r="J479" s="187"/>
      <c r="M479" s="237"/>
      <c r="N479" s="207"/>
      <c r="O479" s="239"/>
      <c r="P479" s="249"/>
      <c r="Q479" s="254"/>
      <c r="R479" s="209" t="str">
        <f t="shared" si="8"/>
        <v/>
      </c>
      <c r="S479" s="187"/>
    </row>
    <row r="480" spans="1:19" ht="18" customHeight="1">
      <c r="A480" s="230"/>
      <c r="B480" s="231"/>
      <c r="C480" s="187"/>
      <c r="D480" s="230"/>
      <c r="E480" s="232"/>
      <c r="F480" s="230"/>
      <c r="G480" s="187"/>
      <c r="H480" s="250"/>
      <c r="J480" s="187"/>
      <c r="M480" s="237"/>
      <c r="N480" s="207"/>
      <c r="O480" s="239"/>
      <c r="P480" s="249"/>
      <c r="Q480" s="254"/>
      <c r="R480" s="209" t="str">
        <f t="shared" si="8"/>
        <v/>
      </c>
      <c r="S480" s="187"/>
    </row>
    <row r="481" spans="1:19" ht="18" customHeight="1">
      <c r="A481" s="230"/>
      <c r="B481" s="231"/>
      <c r="C481" s="187"/>
      <c r="D481" s="230"/>
      <c r="E481" s="232"/>
      <c r="F481" s="230"/>
      <c r="G481" s="187"/>
      <c r="H481" s="250"/>
      <c r="J481" s="187"/>
      <c r="M481" s="237"/>
      <c r="N481" s="207"/>
      <c r="O481" s="239"/>
      <c r="P481" s="249"/>
      <c r="Q481" s="254"/>
      <c r="R481" s="209" t="str">
        <f t="shared" si="8"/>
        <v/>
      </c>
      <c r="S481" s="187"/>
    </row>
    <row r="482" spans="1:19" ht="18" customHeight="1">
      <c r="A482" s="230"/>
      <c r="B482" s="231"/>
      <c r="C482" s="187"/>
      <c r="D482" s="230"/>
      <c r="E482" s="232"/>
      <c r="F482" s="230"/>
      <c r="G482" s="187"/>
      <c r="H482" s="250"/>
      <c r="J482" s="187"/>
      <c r="M482" s="237"/>
      <c r="N482" s="207"/>
      <c r="O482" s="239"/>
      <c r="P482" s="249"/>
      <c r="Q482" s="254"/>
      <c r="R482" s="209" t="str">
        <f t="shared" si="8"/>
        <v/>
      </c>
      <c r="S482" s="187"/>
    </row>
    <row r="483" spans="1:19" ht="18" customHeight="1">
      <c r="A483" s="230"/>
      <c r="B483" s="231"/>
      <c r="C483" s="187"/>
      <c r="D483" s="230"/>
      <c r="E483" s="232"/>
      <c r="F483" s="230"/>
      <c r="G483" s="187"/>
      <c r="H483" s="250"/>
      <c r="J483" s="187"/>
      <c r="M483" s="237"/>
      <c r="N483" s="207"/>
      <c r="O483" s="239"/>
      <c r="P483" s="249"/>
      <c r="Q483" s="254"/>
      <c r="R483" s="209" t="str">
        <f t="shared" si="8"/>
        <v/>
      </c>
      <c r="S483" s="187"/>
    </row>
    <row r="484" spans="1:19" ht="18" customHeight="1">
      <c r="A484" s="230"/>
      <c r="B484" s="231"/>
      <c r="C484" s="187"/>
      <c r="D484" s="230"/>
      <c r="E484" s="232"/>
      <c r="F484" s="230"/>
      <c r="G484" s="187"/>
      <c r="H484" s="250"/>
      <c r="J484" s="187"/>
      <c r="M484" s="237"/>
      <c r="N484" s="207"/>
      <c r="O484" s="239"/>
      <c r="P484" s="249"/>
      <c r="Q484" s="254"/>
      <c r="R484" s="209" t="str">
        <f t="shared" si="8"/>
        <v/>
      </c>
      <c r="S484" s="187"/>
    </row>
    <row r="485" spans="1:19" ht="18" customHeight="1">
      <c r="A485" s="230"/>
      <c r="B485" s="231"/>
      <c r="C485" s="187"/>
      <c r="D485" s="230"/>
      <c r="E485" s="232"/>
      <c r="F485" s="230"/>
      <c r="G485" s="187"/>
      <c r="H485" s="250"/>
      <c r="J485" s="187"/>
      <c r="M485" s="237"/>
      <c r="N485" s="207"/>
      <c r="O485" s="239"/>
      <c r="P485" s="249"/>
      <c r="Q485" s="254"/>
      <c r="R485" s="209" t="str">
        <f t="shared" si="8"/>
        <v/>
      </c>
      <c r="S485" s="187"/>
    </row>
    <row r="486" spans="1:19" ht="18" customHeight="1">
      <c r="A486" s="230"/>
      <c r="B486" s="231"/>
      <c r="C486" s="187"/>
      <c r="D486" s="230"/>
      <c r="E486" s="232"/>
      <c r="F486" s="230"/>
      <c r="G486" s="187"/>
      <c r="H486" s="250"/>
      <c r="J486" s="187"/>
      <c r="M486" s="237"/>
      <c r="N486" s="207"/>
      <c r="O486" s="239"/>
      <c r="P486" s="249"/>
      <c r="Q486" s="254"/>
      <c r="R486" s="209" t="str">
        <f t="shared" ref="R486:R549" si="10">IF(SUM(Q486)&gt;0,SUM(Q486-P486),"")</f>
        <v/>
      </c>
      <c r="S486" s="187"/>
    </row>
    <row r="487" spans="1:19" ht="18" customHeight="1">
      <c r="A487" s="230"/>
      <c r="B487" s="231"/>
      <c r="C487" s="187"/>
      <c r="D487" s="230"/>
      <c r="E487" s="232"/>
      <c r="F487" s="230"/>
      <c r="G487" s="187"/>
      <c r="H487" s="250"/>
      <c r="J487" s="187"/>
      <c r="M487" s="237"/>
      <c r="N487" s="207"/>
      <c r="O487" s="239"/>
      <c r="P487" s="249"/>
      <c r="Q487" s="254"/>
      <c r="R487" s="209" t="str">
        <f t="shared" si="10"/>
        <v/>
      </c>
      <c r="S487" s="187"/>
    </row>
    <row r="488" spans="1:19" ht="18" customHeight="1">
      <c r="A488" s="230"/>
      <c r="B488" s="231"/>
      <c r="C488" s="187"/>
      <c r="D488" s="230"/>
      <c r="E488" s="232"/>
      <c r="F488" s="230"/>
      <c r="G488" s="187"/>
      <c r="H488" s="250"/>
      <c r="J488" s="187"/>
      <c r="M488" s="237"/>
      <c r="N488" s="207"/>
      <c r="O488" s="239"/>
      <c r="P488" s="249"/>
      <c r="Q488" s="254"/>
      <c r="R488" s="209" t="str">
        <f t="shared" si="10"/>
        <v/>
      </c>
      <c r="S488" s="187"/>
    </row>
    <row r="489" spans="1:19" ht="18" customHeight="1">
      <c r="A489" s="230"/>
      <c r="B489" s="231"/>
      <c r="C489" s="187"/>
      <c r="D489" s="230"/>
      <c r="E489" s="232"/>
      <c r="F489" s="230"/>
      <c r="G489" s="187"/>
      <c r="H489" s="250"/>
      <c r="J489" s="187"/>
      <c r="M489" s="237"/>
      <c r="N489" s="207"/>
      <c r="O489" s="239"/>
      <c r="P489" s="249"/>
      <c r="Q489" s="254"/>
      <c r="R489" s="209" t="str">
        <f t="shared" si="10"/>
        <v/>
      </c>
      <c r="S489" s="187"/>
    </row>
    <row r="490" spans="1:19" ht="18" customHeight="1">
      <c r="A490" s="230"/>
      <c r="B490" s="231"/>
      <c r="C490" s="187"/>
      <c r="D490" s="230"/>
      <c r="E490" s="232"/>
      <c r="F490" s="230"/>
      <c r="G490" s="187"/>
      <c r="H490" s="250"/>
      <c r="J490" s="187"/>
      <c r="M490" s="237"/>
      <c r="N490" s="207"/>
      <c r="O490" s="239"/>
      <c r="P490" s="249"/>
      <c r="Q490" s="254"/>
      <c r="R490" s="209" t="str">
        <f t="shared" si="10"/>
        <v/>
      </c>
      <c r="S490" s="187"/>
    </row>
    <row r="491" spans="1:19" ht="18" customHeight="1">
      <c r="A491" s="230"/>
      <c r="B491" s="231"/>
      <c r="C491" s="187"/>
      <c r="D491" s="230"/>
      <c r="E491" s="232"/>
      <c r="F491" s="230"/>
      <c r="G491" s="187"/>
      <c r="H491" s="250"/>
      <c r="J491" s="187"/>
      <c r="M491" s="237"/>
      <c r="N491" s="207"/>
      <c r="O491" s="239"/>
      <c r="P491" s="249"/>
      <c r="Q491" s="254"/>
      <c r="R491" s="209" t="str">
        <f t="shared" si="10"/>
        <v/>
      </c>
      <c r="S491" s="187"/>
    </row>
    <row r="492" spans="1:19" ht="18" customHeight="1">
      <c r="A492" s="230"/>
      <c r="B492" s="231"/>
      <c r="C492" s="187"/>
      <c r="D492" s="230"/>
      <c r="E492" s="232"/>
      <c r="F492" s="230"/>
      <c r="G492" s="187"/>
      <c r="H492" s="250"/>
      <c r="J492" s="187"/>
      <c r="M492" s="237"/>
      <c r="N492" s="207"/>
      <c r="O492" s="239"/>
      <c r="P492" s="249"/>
      <c r="Q492" s="254"/>
      <c r="R492" s="209" t="str">
        <f t="shared" si="10"/>
        <v/>
      </c>
      <c r="S492" s="187"/>
    </row>
    <row r="493" spans="1:19" ht="18" customHeight="1">
      <c r="A493" s="230"/>
      <c r="B493" s="231"/>
      <c r="C493" s="187"/>
      <c r="D493" s="230"/>
      <c r="E493" s="232"/>
      <c r="F493" s="230"/>
      <c r="G493" s="187"/>
      <c r="H493" s="250"/>
      <c r="J493" s="187"/>
      <c r="M493" s="237"/>
      <c r="N493" s="207"/>
      <c r="O493" s="239"/>
      <c r="P493" s="249"/>
      <c r="Q493" s="254"/>
      <c r="R493" s="209" t="str">
        <f t="shared" si="10"/>
        <v/>
      </c>
      <c r="S493" s="187"/>
    </row>
    <row r="494" spans="1:19" ht="18" customHeight="1">
      <c r="A494" s="230"/>
      <c r="B494" s="231"/>
      <c r="C494" s="187"/>
      <c r="D494" s="230"/>
      <c r="E494" s="232"/>
      <c r="F494" s="230"/>
      <c r="G494" s="187"/>
      <c r="H494" s="250"/>
      <c r="J494" s="187"/>
      <c r="M494" s="237"/>
      <c r="N494" s="207"/>
      <c r="O494" s="239"/>
      <c r="P494" s="249"/>
      <c r="Q494" s="254"/>
      <c r="R494" s="209" t="str">
        <f t="shared" si="10"/>
        <v/>
      </c>
      <c r="S494" s="187"/>
    </row>
    <row r="495" spans="1:19" ht="18" customHeight="1">
      <c r="A495" s="230"/>
      <c r="B495" s="231"/>
      <c r="C495" s="187"/>
      <c r="D495" s="230"/>
      <c r="E495" s="232"/>
      <c r="F495" s="230"/>
      <c r="G495" s="187"/>
      <c r="H495" s="250"/>
      <c r="J495" s="187"/>
      <c r="M495" s="237"/>
      <c r="N495" s="207"/>
      <c r="O495" s="239"/>
      <c r="P495" s="249"/>
      <c r="Q495" s="254"/>
      <c r="R495" s="209" t="str">
        <f t="shared" si="10"/>
        <v/>
      </c>
      <c r="S495" s="187"/>
    </row>
    <row r="496" spans="1:19" ht="18" customHeight="1">
      <c r="A496" s="230"/>
      <c r="B496" s="231"/>
      <c r="C496" s="187"/>
      <c r="D496" s="230"/>
      <c r="E496" s="232"/>
      <c r="F496" s="230"/>
      <c r="G496" s="187"/>
      <c r="H496" s="250"/>
      <c r="J496" s="187"/>
      <c r="M496" s="237"/>
      <c r="N496" s="207"/>
      <c r="O496" s="239"/>
      <c r="P496" s="249"/>
      <c r="Q496" s="254"/>
      <c r="R496" s="209" t="str">
        <f t="shared" si="10"/>
        <v/>
      </c>
      <c r="S496" s="187"/>
    </row>
    <row r="497" spans="1:19" ht="18" customHeight="1">
      <c r="A497" s="230"/>
      <c r="B497" s="231"/>
      <c r="C497" s="187"/>
      <c r="D497" s="230"/>
      <c r="E497" s="232"/>
      <c r="F497" s="230"/>
      <c r="G497" s="187"/>
      <c r="H497" s="250"/>
      <c r="J497" s="187"/>
      <c r="M497" s="237"/>
      <c r="N497" s="207"/>
      <c r="O497" s="239"/>
      <c r="P497" s="249"/>
      <c r="Q497" s="254"/>
      <c r="R497" s="209" t="str">
        <f t="shared" si="10"/>
        <v/>
      </c>
      <c r="S497" s="187"/>
    </row>
    <row r="498" spans="1:19" ht="18" customHeight="1">
      <c r="A498" s="230"/>
      <c r="B498" s="231"/>
      <c r="C498" s="187"/>
      <c r="D498" s="230"/>
      <c r="E498" s="232"/>
      <c r="F498" s="230"/>
      <c r="G498" s="187"/>
      <c r="H498" s="250"/>
      <c r="J498" s="187"/>
      <c r="M498" s="237"/>
      <c r="N498" s="207"/>
      <c r="O498" s="239"/>
      <c r="P498" s="249"/>
      <c r="Q498" s="254"/>
      <c r="R498" s="209" t="str">
        <f t="shared" si="10"/>
        <v/>
      </c>
      <c r="S498" s="187"/>
    </row>
    <row r="499" spans="1:19" ht="18" customHeight="1">
      <c r="A499" s="230"/>
      <c r="B499" s="231"/>
      <c r="C499" s="187"/>
      <c r="D499" s="230"/>
      <c r="E499" s="232"/>
      <c r="F499" s="230"/>
      <c r="G499" s="187"/>
      <c r="H499" s="250"/>
      <c r="J499" s="187"/>
      <c r="M499" s="237"/>
      <c r="N499" s="207"/>
      <c r="O499" s="239"/>
      <c r="P499" s="249"/>
      <c r="Q499" s="254"/>
      <c r="R499" s="209" t="str">
        <f t="shared" si="10"/>
        <v/>
      </c>
      <c r="S499" s="187"/>
    </row>
    <row r="500" spans="1:19" ht="18" customHeight="1">
      <c r="A500" s="230"/>
      <c r="B500" s="231"/>
      <c r="C500" s="187"/>
      <c r="D500" s="230"/>
      <c r="E500" s="232"/>
      <c r="F500" s="230"/>
      <c r="G500" s="187"/>
      <c r="H500" s="250"/>
      <c r="J500" s="187"/>
      <c r="M500" s="237"/>
      <c r="N500" s="207"/>
      <c r="O500" s="239"/>
      <c r="P500" s="249"/>
      <c r="Q500" s="254"/>
      <c r="R500" s="209" t="str">
        <f t="shared" si="10"/>
        <v/>
      </c>
      <c r="S500" s="187"/>
    </row>
    <row r="501" spans="1:19" ht="18" customHeight="1">
      <c r="A501" s="230"/>
      <c r="B501" s="231"/>
      <c r="C501" s="187"/>
      <c r="D501" s="230"/>
      <c r="E501" s="232"/>
      <c r="F501" s="230"/>
      <c r="G501" s="187"/>
      <c r="H501" s="250"/>
      <c r="J501" s="187"/>
      <c r="M501" s="237"/>
      <c r="N501" s="207"/>
      <c r="O501" s="239"/>
      <c r="P501" s="249"/>
      <c r="Q501" s="254"/>
      <c r="R501" s="209" t="str">
        <f t="shared" si="10"/>
        <v/>
      </c>
      <c r="S501" s="187"/>
    </row>
    <row r="502" spans="1:19" ht="18" customHeight="1">
      <c r="A502" s="230"/>
      <c r="B502" s="231"/>
      <c r="C502" s="187"/>
      <c r="D502" s="230"/>
      <c r="E502" s="232"/>
      <c r="F502" s="230"/>
      <c r="G502" s="187"/>
      <c r="H502" s="250"/>
      <c r="J502" s="187"/>
      <c r="M502" s="237"/>
      <c r="N502" s="207"/>
      <c r="O502" s="239"/>
      <c r="P502" s="249"/>
      <c r="Q502" s="254"/>
      <c r="R502" s="209" t="str">
        <f t="shared" si="10"/>
        <v/>
      </c>
      <c r="S502" s="187"/>
    </row>
    <row r="503" spans="1:19" ht="18" customHeight="1">
      <c r="A503" s="230"/>
      <c r="B503" s="231"/>
      <c r="C503" s="187"/>
      <c r="D503" s="230"/>
      <c r="E503" s="232"/>
      <c r="F503" s="230"/>
      <c r="G503" s="187"/>
      <c r="H503" s="250"/>
      <c r="J503" s="187"/>
      <c r="M503" s="237"/>
      <c r="N503" s="207"/>
      <c r="O503" s="239"/>
      <c r="P503" s="249"/>
      <c r="Q503" s="254"/>
      <c r="R503" s="209" t="str">
        <f t="shared" si="10"/>
        <v/>
      </c>
      <c r="S503" s="187"/>
    </row>
    <row r="504" spans="1:19" ht="18" customHeight="1">
      <c r="A504" s="230"/>
      <c r="B504" s="231"/>
      <c r="C504" s="187"/>
      <c r="D504" s="230"/>
      <c r="E504" s="232"/>
      <c r="F504" s="230"/>
      <c r="G504" s="187"/>
      <c r="H504" s="250"/>
      <c r="J504" s="187"/>
      <c r="M504" s="237"/>
      <c r="N504" s="207"/>
      <c r="O504" s="239"/>
      <c r="P504" s="249"/>
      <c r="Q504" s="254"/>
      <c r="R504" s="209" t="str">
        <f t="shared" si="10"/>
        <v/>
      </c>
      <c r="S504" s="187"/>
    </row>
    <row r="505" spans="1:19" ht="18" customHeight="1">
      <c r="A505" s="230"/>
      <c r="B505" s="231"/>
      <c r="C505" s="187"/>
      <c r="D505" s="230"/>
      <c r="E505" s="232"/>
      <c r="F505" s="230"/>
      <c r="G505" s="187"/>
      <c r="H505" s="250"/>
      <c r="J505" s="187"/>
      <c r="M505" s="237"/>
      <c r="N505" s="207"/>
      <c r="O505" s="239"/>
      <c r="P505" s="249"/>
      <c r="Q505" s="254"/>
      <c r="R505" s="209" t="str">
        <f t="shared" si="10"/>
        <v/>
      </c>
      <c r="S505" s="187"/>
    </row>
    <row r="506" spans="1:19" ht="18" customHeight="1">
      <c r="A506" s="230"/>
      <c r="B506" s="231"/>
      <c r="C506" s="187"/>
      <c r="D506" s="230"/>
      <c r="E506" s="232"/>
      <c r="F506" s="230"/>
      <c r="G506" s="187"/>
      <c r="H506" s="250"/>
      <c r="J506" s="187"/>
      <c r="M506" s="237"/>
      <c r="N506" s="207"/>
      <c r="O506" s="239"/>
      <c r="P506" s="249"/>
      <c r="Q506" s="254"/>
      <c r="R506" s="209" t="str">
        <f t="shared" si="10"/>
        <v/>
      </c>
      <c r="S506" s="187"/>
    </row>
    <row r="507" spans="1:19" ht="18" customHeight="1">
      <c r="A507" s="230"/>
      <c r="B507" s="231"/>
      <c r="C507" s="187"/>
      <c r="D507" s="230"/>
      <c r="E507" s="232"/>
      <c r="F507" s="230"/>
      <c r="G507" s="187"/>
      <c r="H507" s="250"/>
      <c r="J507" s="187"/>
      <c r="M507" s="237"/>
      <c r="N507" s="207"/>
      <c r="O507" s="239"/>
      <c r="P507" s="249"/>
      <c r="Q507" s="254"/>
      <c r="R507" s="209" t="str">
        <f t="shared" si="10"/>
        <v/>
      </c>
      <c r="S507" s="187"/>
    </row>
    <row r="508" spans="1:19" ht="18" customHeight="1">
      <c r="A508" s="230"/>
      <c r="B508" s="231"/>
      <c r="C508" s="187"/>
      <c r="D508" s="230"/>
      <c r="E508" s="232"/>
      <c r="F508" s="230"/>
      <c r="G508" s="187"/>
      <c r="H508" s="250"/>
      <c r="J508" s="187"/>
      <c r="M508" s="237"/>
      <c r="N508" s="207"/>
      <c r="O508" s="239"/>
      <c r="P508" s="249"/>
      <c r="Q508" s="254"/>
      <c r="R508" s="209" t="str">
        <f t="shared" si="10"/>
        <v/>
      </c>
      <c r="S508" s="187"/>
    </row>
    <row r="509" spans="1:19" ht="18" customHeight="1">
      <c r="A509" s="230"/>
      <c r="B509" s="231"/>
      <c r="C509" s="187"/>
      <c r="D509" s="230"/>
      <c r="E509" s="232"/>
      <c r="F509" s="230"/>
      <c r="G509" s="187"/>
      <c r="H509" s="250"/>
      <c r="J509" s="187"/>
      <c r="M509" s="237"/>
      <c r="N509" s="207"/>
      <c r="O509" s="239"/>
      <c r="P509" s="249"/>
      <c r="Q509" s="254"/>
      <c r="R509" s="209" t="str">
        <f t="shared" si="10"/>
        <v/>
      </c>
      <c r="S509" s="187"/>
    </row>
    <row r="510" spans="1:19" ht="18" customHeight="1">
      <c r="A510" s="230"/>
      <c r="B510" s="231"/>
      <c r="C510" s="187"/>
      <c r="D510" s="230"/>
      <c r="E510" s="232"/>
      <c r="F510" s="230"/>
      <c r="G510" s="187"/>
      <c r="H510" s="250"/>
      <c r="J510" s="187"/>
      <c r="M510" s="237"/>
      <c r="N510" s="207"/>
      <c r="O510" s="239"/>
      <c r="P510" s="249"/>
      <c r="Q510" s="254"/>
      <c r="R510" s="209" t="str">
        <f t="shared" si="10"/>
        <v/>
      </c>
      <c r="S510" s="187"/>
    </row>
    <row r="511" spans="1:19" ht="18" customHeight="1">
      <c r="A511" s="230"/>
      <c r="B511" s="231"/>
      <c r="C511" s="187"/>
      <c r="D511" s="230"/>
      <c r="E511" s="232"/>
      <c r="F511" s="230"/>
      <c r="G511" s="187"/>
      <c r="H511" s="250"/>
      <c r="J511" s="187"/>
      <c r="M511" s="237"/>
      <c r="N511" s="207"/>
      <c r="O511" s="239"/>
      <c r="P511" s="249"/>
      <c r="Q511" s="254"/>
      <c r="R511" s="209" t="str">
        <f t="shared" si="10"/>
        <v/>
      </c>
      <c r="S511" s="187"/>
    </row>
    <row r="512" spans="1:19" ht="18" customHeight="1">
      <c r="A512" s="230"/>
      <c r="B512" s="231"/>
      <c r="C512" s="187"/>
      <c r="D512" s="230"/>
      <c r="E512" s="232"/>
      <c r="F512" s="230"/>
      <c r="G512" s="187"/>
      <c r="H512" s="250"/>
      <c r="J512" s="187"/>
      <c r="M512" s="237"/>
      <c r="N512" s="207"/>
      <c r="O512" s="239"/>
      <c r="P512" s="249"/>
      <c r="Q512" s="254"/>
      <c r="R512" s="209" t="str">
        <f t="shared" si="10"/>
        <v/>
      </c>
      <c r="S512" s="187"/>
    </row>
    <row r="513" spans="1:19" ht="18" customHeight="1">
      <c r="A513" s="230"/>
      <c r="B513" s="231"/>
      <c r="C513" s="187"/>
      <c r="D513" s="230"/>
      <c r="E513" s="232"/>
      <c r="F513" s="230"/>
      <c r="G513" s="187"/>
      <c r="H513" s="250"/>
      <c r="J513" s="187"/>
      <c r="M513" s="237"/>
      <c r="N513" s="207"/>
      <c r="O513" s="239"/>
      <c r="P513" s="249"/>
      <c r="Q513" s="254"/>
      <c r="R513" s="209" t="str">
        <f t="shared" si="10"/>
        <v/>
      </c>
      <c r="S513" s="187"/>
    </row>
    <row r="514" spans="1:19" ht="18" customHeight="1">
      <c r="A514" s="230"/>
      <c r="B514" s="231"/>
      <c r="C514" s="187"/>
      <c r="D514" s="230"/>
      <c r="E514" s="232"/>
      <c r="F514" s="230"/>
      <c r="G514" s="187"/>
      <c r="H514" s="250"/>
      <c r="J514" s="187"/>
      <c r="M514" s="237"/>
      <c r="N514" s="207"/>
      <c r="O514" s="239"/>
      <c r="P514" s="249"/>
      <c r="Q514" s="254"/>
      <c r="R514" s="209" t="str">
        <f t="shared" si="10"/>
        <v/>
      </c>
      <c r="S514" s="187"/>
    </row>
    <row r="515" spans="1:19" ht="18" customHeight="1">
      <c r="A515" s="230"/>
      <c r="B515" s="231"/>
      <c r="C515" s="187"/>
      <c r="D515" s="230"/>
      <c r="E515" s="232"/>
      <c r="F515" s="230"/>
      <c r="G515" s="187"/>
      <c r="H515" s="250"/>
      <c r="J515" s="187"/>
      <c r="M515" s="237"/>
      <c r="N515" s="207"/>
      <c r="O515" s="239"/>
      <c r="P515" s="249"/>
      <c r="Q515" s="254"/>
      <c r="R515" s="209" t="str">
        <f t="shared" si="10"/>
        <v/>
      </c>
      <c r="S515" s="187"/>
    </row>
    <row r="516" spans="1:19" ht="18" customHeight="1">
      <c r="A516" s="230"/>
      <c r="B516" s="231"/>
      <c r="C516" s="187"/>
      <c r="D516" s="230"/>
      <c r="E516" s="232"/>
      <c r="F516" s="230"/>
      <c r="G516" s="187"/>
      <c r="H516" s="250"/>
      <c r="J516" s="187"/>
      <c r="M516" s="237"/>
      <c r="N516" s="207"/>
      <c r="O516" s="239"/>
      <c r="P516" s="249"/>
      <c r="Q516" s="254"/>
      <c r="R516" s="209" t="str">
        <f t="shared" si="10"/>
        <v/>
      </c>
      <c r="S516" s="187"/>
    </row>
    <row r="517" spans="1:19" ht="18" customHeight="1">
      <c r="A517" s="230"/>
      <c r="B517" s="231"/>
      <c r="C517" s="187"/>
      <c r="D517" s="230"/>
      <c r="E517" s="232"/>
      <c r="F517" s="230"/>
      <c r="G517" s="187"/>
      <c r="H517" s="250"/>
      <c r="J517" s="187"/>
      <c r="M517" s="237"/>
      <c r="N517" s="207"/>
      <c r="O517" s="239"/>
      <c r="P517" s="249"/>
      <c r="Q517" s="254"/>
      <c r="R517" s="209" t="str">
        <f t="shared" si="10"/>
        <v/>
      </c>
      <c r="S517" s="187"/>
    </row>
    <row r="518" spans="1:19" ht="18" customHeight="1">
      <c r="A518" s="230"/>
      <c r="B518" s="231"/>
      <c r="C518" s="187"/>
      <c r="D518" s="230"/>
      <c r="E518" s="232"/>
      <c r="F518" s="230"/>
      <c r="G518" s="187"/>
      <c r="H518" s="250"/>
      <c r="J518" s="187"/>
      <c r="M518" s="237"/>
      <c r="N518" s="207"/>
      <c r="O518" s="239"/>
      <c r="P518" s="249"/>
      <c r="Q518" s="254"/>
      <c r="R518" s="209" t="str">
        <f t="shared" si="10"/>
        <v/>
      </c>
      <c r="S518" s="187"/>
    </row>
    <row r="519" spans="1:19" ht="18" customHeight="1">
      <c r="A519" s="230"/>
      <c r="B519" s="231"/>
      <c r="C519" s="187"/>
      <c r="D519" s="230"/>
      <c r="E519" s="232"/>
      <c r="F519" s="230"/>
      <c r="G519" s="187"/>
      <c r="H519" s="250"/>
      <c r="J519" s="187"/>
      <c r="M519" s="237"/>
      <c r="N519" s="207"/>
      <c r="O519" s="239"/>
      <c r="P519" s="249"/>
      <c r="Q519" s="254"/>
      <c r="R519" s="209" t="str">
        <f t="shared" si="10"/>
        <v/>
      </c>
      <c r="S519" s="187"/>
    </row>
    <row r="520" spans="1:19" ht="18" customHeight="1">
      <c r="A520" s="230"/>
      <c r="B520" s="231"/>
      <c r="C520" s="187"/>
      <c r="D520" s="230"/>
      <c r="E520" s="232"/>
      <c r="F520" s="230"/>
      <c r="G520" s="187"/>
      <c r="H520" s="250"/>
      <c r="J520" s="187"/>
      <c r="M520" s="237"/>
      <c r="N520" s="207"/>
      <c r="O520" s="239"/>
      <c r="P520" s="249"/>
      <c r="Q520" s="254"/>
      <c r="R520" s="209" t="str">
        <f t="shared" si="10"/>
        <v/>
      </c>
      <c r="S520" s="187"/>
    </row>
    <row r="521" spans="1:19" ht="18" customHeight="1">
      <c r="A521" s="230"/>
      <c r="B521" s="231"/>
      <c r="C521" s="187"/>
      <c r="D521" s="230"/>
      <c r="E521" s="232"/>
      <c r="F521" s="230"/>
      <c r="G521" s="187"/>
      <c r="H521" s="250"/>
      <c r="J521" s="187"/>
      <c r="M521" s="237"/>
      <c r="N521" s="207"/>
      <c r="O521" s="239"/>
      <c r="P521" s="249"/>
      <c r="Q521" s="254"/>
      <c r="R521" s="209" t="str">
        <f t="shared" si="10"/>
        <v/>
      </c>
      <c r="S521" s="187"/>
    </row>
    <row r="522" spans="1:19" ht="18" customHeight="1">
      <c r="A522" s="230"/>
      <c r="B522" s="231"/>
      <c r="C522" s="187"/>
      <c r="D522" s="230"/>
      <c r="E522" s="232"/>
      <c r="F522" s="230"/>
      <c r="G522" s="187"/>
      <c r="H522" s="250"/>
      <c r="J522" s="187"/>
      <c r="M522" s="237"/>
      <c r="N522" s="207"/>
      <c r="O522" s="239"/>
      <c r="P522" s="249"/>
      <c r="Q522" s="254"/>
      <c r="R522" s="209" t="str">
        <f t="shared" si="10"/>
        <v/>
      </c>
      <c r="S522" s="187"/>
    </row>
    <row r="523" spans="1:19" ht="18" customHeight="1">
      <c r="A523" s="230"/>
      <c r="B523" s="231"/>
      <c r="C523" s="187"/>
      <c r="D523" s="230"/>
      <c r="E523" s="232"/>
      <c r="F523" s="230"/>
      <c r="G523" s="187"/>
      <c r="H523" s="250"/>
      <c r="J523" s="187"/>
      <c r="M523" s="237"/>
      <c r="N523" s="207"/>
      <c r="O523" s="239"/>
      <c r="P523" s="249"/>
      <c r="Q523" s="254"/>
      <c r="R523" s="209" t="str">
        <f t="shared" si="10"/>
        <v/>
      </c>
      <c r="S523" s="187"/>
    </row>
    <row r="524" spans="1:19" ht="18" customHeight="1">
      <c r="A524" s="230"/>
      <c r="B524" s="231"/>
      <c r="C524" s="187"/>
      <c r="D524" s="230"/>
      <c r="E524" s="232"/>
      <c r="F524" s="230"/>
      <c r="G524" s="187"/>
      <c r="H524" s="250"/>
      <c r="J524" s="187"/>
      <c r="M524" s="237"/>
      <c r="N524" s="207"/>
      <c r="O524" s="239"/>
      <c r="P524" s="249"/>
      <c r="Q524" s="254"/>
      <c r="R524" s="209" t="str">
        <f t="shared" si="10"/>
        <v/>
      </c>
      <c r="S524" s="187"/>
    </row>
    <row r="525" spans="1:19" ht="18" customHeight="1">
      <c r="A525" s="230"/>
      <c r="B525" s="231"/>
      <c r="C525" s="187"/>
      <c r="D525" s="230"/>
      <c r="E525" s="232"/>
      <c r="F525" s="230"/>
      <c r="G525" s="187"/>
      <c r="H525" s="250"/>
      <c r="J525" s="187"/>
      <c r="M525" s="237"/>
      <c r="N525" s="207"/>
      <c r="O525" s="239"/>
      <c r="P525" s="249"/>
      <c r="Q525" s="254"/>
      <c r="R525" s="209" t="str">
        <f t="shared" si="10"/>
        <v/>
      </c>
      <c r="S525" s="187"/>
    </row>
    <row r="526" spans="1:19" ht="18" customHeight="1">
      <c r="A526" s="230"/>
      <c r="B526" s="231"/>
      <c r="C526" s="187"/>
      <c r="D526" s="230"/>
      <c r="E526" s="232"/>
      <c r="F526" s="230"/>
      <c r="G526" s="187"/>
      <c r="H526" s="250"/>
      <c r="J526" s="187"/>
      <c r="M526" s="237"/>
      <c r="N526" s="207"/>
      <c r="O526" s="239"/>
      <c r="P526" s="249"/>
      <c r="Q526" s="254"/>
      <c r="R526" s="209" t="str">
        <f t="shared" si="10"/>
        <v/>
      </c>
      <c r="S526" s="187"/>
    </row>
    <row r="527" spans="1:19" ht="18" customHeight="1">
      <c r="A527" s="230"/>
      <c r="B527" s="231"/>
      <c r="C527" s="187"/>
      <c r="D527" s="230"/>
      <c r="E527" s="232"/>
      <c r="F527" s="230"/>
      <c r="G527" s="187"/>
      <c r="H527" s="250"/>
      <c r="J527" s="187"/>
      <c r="M527" s="237"/>
      <c r="N527" s="207"/>
      <c r="O527" s="239"/>
      <c r="P527" s="249"/>
      <c r="Q527" s="254"/>
      <c r="R527" s="209" t="str">
        <f t="shared" si="10"/>
        <v/>
      </c>
      <c r="S527" s="187"/>
    </row>
    <row r="528" spans="1:19" ht="18" customHeight="1">
      <c r="A528" s="230"/>
      <c r="B528" s="231"/>
      <c r="C528" s="187"/>
      <c r="D528" s="230"/>
      <c r="E528" s="232"/>
      <c r="F528" s="230"/>
      <c r="G528" s="187"/>
      <c r="H528" s="250"/>
      <c r="J528" s="187"/>
      <c r="M528" s="237"/>
      <c r="N528" s="207"/>
      <c r="O528" s="239"/>
      <c r="P528" s="249"/>
      <c r="Q528" s="254"/>
      <c r="R528" s="209" t="str">
        <f t="shared" si="10"/>
        <v/>
      </c>
      <c r="S528" s="187"/>
    </row>
    <row r="529" spans="1:19" ht="18" customHeight="1">
      <c r="A529" s="230"/>
      <c r="B529" s="231"/>
      <c r="C529" s="187"/>
      <c r="D529" s="230"/>
      <c r="E529" s="232"/>
      <c r="F529" s="230"/>
      <c r="G529" s="187"/>
      <c r="H529" s="250"/>
      <c r="J529" s="187"/>
      <c r="M529" s="237"/>
      <c r="N529" s="207"/>
      <c r="O529" s="239"/>
      <c r="P529" s="249"/>
      <c r="Q529" s="254"/>
      <c r="R529" s="209" t="str">
        <f t="shared" si="10"/>
        <v/>
      </c>
      <c r="S529" s="187"/>
    </row>
    <row r="530" spans="1:19" ht="18" customHeight="1">
      <c r="A530" s="230"/>
      <c r="B530" s="231"/>
      <c r="C530" s="187"/>
      <c r="D530" s="230"/>
      <c r="E530" s="232"/>
      <c r="F530" s="230"/>
      <c r="G530" s="187"/>
      <c r="H530" s="250"/>
      <c r="J530" s="187"/>
      <c r="M530" s="237"/>
      <c r="N530" s="207"/>
      <c r="O530" s="239"/>
      <c r="P530" s="249"/>
      <c r="Q530" s="254"/>
      <c r="R530" s="209" t="str">
        <f t="shared" si="10"/>
        <v/>
      </c>
      <c r="S530" s="187"/>
    </row>
    <row r="531" spans="1:19" ht="18" customHeight="1">
      <c r="A531" s="230"/>
      <c r="B531" s="231"/>
      <c r="C531" s="187"/>
      <c r="D531" s="230"/>
      <c r="E531" s="232"/>
      <c r="F531" s="230"/>
      <c r="G531" s="187"/>
      <c r="H531" s="250"/>
      <c r="J531" s="187"/>
      <c r="M531" s="237"/>
      <c r="N531" s="207"/>
      <c r="O531" s="239"/>
      <c r="P531" s="249"/>
      <c r="Q531" s="254"/>
      <c r="R531" s="209" t="str">
        <f t="shared" si="10"/>
        <v/>
      </c>
      <c r="S531" s="187"/>
    </row>
    <row r="532" spans="1:19" ht="18" customHeight="1">
      <c r="A532" s="230"/>
      <c r="B532" s="231"/>
      <c r="C532" s="187"/>
      <c r="D532" s="230"/>
      <c r="E532" s="232"/>
      <c r="F532" s="230"/>
      <c r="G532" s="187"/>
      <c r="H532" s="250"/>
      <c r="J532" s="187"/>
      <c r="M532" s="237"/>
      <c r="N532" s="207"/>
      <c r="O532" s="239"/>
      <c r="P532" s="249"/>
      <c r="Q532" s="254"/>
      <c r="R532" s="209" t="str">
        <f t="shared" si="10"/>
        <v/>
      </c>
      <c r="S532" s="187"/>
    </row>
    <row r="533" spans="1:19" ht="18" customHeight="1">
      <c r="A533" s="230"/>
      <c r="B533" s="231"/>
      <c r="C533" s="187"/>
      <c r="D533" s="230"/>
      <c r="E533" s="232"/>
      <c r="F533" s="230"/>
      <c r="G533" s="187"/>
      <c r="H533" s="250"/>
      <c r="J533" s="187"/>
      <c r="M533" s="237"/>
      <c r="N533" s="207"/>
      <c r="O533" s="239"/>
      <c r="P533" s="249"/>
      <c r="Q533" s="254"/>
      <c r="R533" s="209" t="str">
        <f t="shared" si="10"/>
        <v/>
      </c>
      <c r="S533" s="187"/>
    </row>
    <row r="534" spans="1:19" ht="18" customHeight="1">
      <c r="A534" s="230"/>
      <c r="B534" s="231"/>
      <c r="C534" s="187"/>
      <c r="D534" s="230"/>
      <c r="E534" s="232"/>
      <c r="F534" s="230"/>
      <c r="G534" s="187"/>
      <c r="H534" s="250"/>
      <c r="J534" s="187"/>
      <c r="M534" s="237"/>
      <c r="N534" s="207"/>
      <c r="O534" s="239"/>
      <c r="P534" s="249"/>
      <c r="Q534" s="254"/>
      <c r="R534" s="209" t="str">
        <f t="shared" si="10"/>
        <v/>
      </c>
      <c r="S534" s="187"/>
    </row>
    <row r="535" spans="1:19" ht="18" customHeight="1">
      <c r="A535" s="230"/>
      <c r="B535" s="231"/>
      <c r="C535" s="187"/>
      <c r="D535" s="230"/>
      <c r="E535" s="232"/>
      <c r="F535" s="230"/>
      <c r="G535" s="187"/>
      <c r="H535" s="250"/>
      <c r="J535" s="187"/>
      <c r="M535" s="237"/>
      <c r="N535" s="207"/>
      <c r="O535" s="239"/>
      <c r="P535" s="249"/>
      <c r="Q535" s="254"/>
      <c r="R535" s="209" t="str">
        <f t="shared" si="10"/>
        <v/>
      </c>
      <c r="S535" s="187"/>
    </row>
    <row r="536" spans="1:19" ht="18" customHeight="1">
      <c r="A536" s="230"/>
      <c r="B536" s="231"/>
      <c r="C536" s="187"/>
      <c r="D536" s="230"/>
      <c r="E536" s="232"/>
      <c r="F536" s="230"/>
      <c r="G536" s="187"/>
      <c r="H536" s="250"/>
      <c r="J536" s="187"/>
      <c r="M536" s="237"/>
      <c r="N536" s="207"/>
      <c r="O536" s="239"/>
      <c r="P536" s="249"/>
      <c r="Q536" s="254"/>
      <c r="R536" s="209" t="str">
        <f t="shared" si="10"/>
        <v/>
      </c>
      <c r="S536" s="187"/>
    </row>
    <row r="537" spans="1:19" ht="18" customHeight="1">
      <c r="A537" s="230"/>
      <c r="B537" s="231"/>
      <c r="C537" s="187"/>
      <c r="D537" s="230"/>
      <c r="E537" s="232"/>
      <c r="F537" s="230"/>
      <c r="G537" s="187"/>
      <c r="H537" s="250"/>
      <c r="J537" s="187"/>
      <c r="M537" s="237"/>
      <c r="N537" s="207"/>
      <c r="O537" s="239"/>
      <c r="P537" s="249"/>
      <c r="Q537" s="254"/>
      <c r="R537" s="209" t="str">
        <f t="shared" si="10"/>
        <v/>
      </c>
      <c r="S537" s="187"/>
    </row>
    <row r="538" spans="1:19" ht="18" customHeight="1">
      <c r="A538" s="230"/>
      <c r="B538" s="231"/>
      <c r="C538" s="187"/>
      <c r="D538" s="230"/>
      <c r="E538" s="232"/>
      <c r="F538" s="230"/>
      <c r="G538" s="187"/>
      <c r="H538" s="250"/>
      <c r="J538" s="187"/>
      <c r="M538" s="237"/>
      <c r="N538" s="207"/>
      <c r="O538" s="239"/>
      <c r="P538" s="249"/>
      <c r="Q538" s="254"/>
      <c r="R538" s="209" t="str">
        <f t="shared" si="10"/>
        <v/>
      </c>
      <c r="S538" s="187"/>
    </row>
    <row r="539" spans="1:19" ht="18" customHeight="1">
      <c r="A539" s="230"/>
      <c r="B539" s="231"/>
      <c r="C539" s="187"/>
      <c r="D539" s="230"/>
      <c r="E539" s="232"/>
      <c r="F539" s="230"/>
      <c r="G539" s="187"/>
      <c r="H539" s="250"/>
      <c r="J539" s="187"/>
      <c r="M539" s="237"/>
      <c r="N539" s="207"/>
      <c r="O539" s="239"/>
      <c r="P539" s="249"/>
      <c r="Q539" s="254"/>
      <c r="R539" s="209" t="str">
        <f t="shared" si="10"/>
        <v/>
      </c>
      <c r="S539" s="187"/>
    </row>
    <row r="540" spans="1:19" ht="18" customHeight="1">
      <c r="A540" s="230"/>
      <c r="B540" s="231"/>
      <c r="C540" s="187"/>
      <c r="D540" s="230"/>
      <c r="E540" s="232"/>
      <c r="F540" s="230"/>
      <c r="G540" s="187"/>
      <c r="H540" s="250"/>
      <c r="J540" s="187"/>
      <c r="M540" s="237"/>
      <c r="N540" s="207"/>
      <c r="O540" s="239"/>
      <c r="P540" s="249"/>
      <c r="Q540" s="254"/>
      <c r="R540" s="209" t="str">
        <f t="shared" si="10"/>
        <v/>
      </c>
      <c r="S540" s="187"/>
    </row>
    <row r="541" spans="1:19" ht="18" customHeight="1">
      <c r="A541" s="230"/>
      <c r="B541" s="231"/>
      <c r="C541" s="187"/>
      <c r="D541" s="230"/>
      <c r="E541" s="232"/>
      <c r="F541" s="230"/>
      <c r="G541" s="187"/>
      <c r="H541" s="250"/>
      <c r="J541" s="187"/>
      <c r="M541" s="237"/>
      <c r="N541" s="207"/>
      <c r="O541" s="239"/>
      <c r="P541" s="249"/>
      <c r="Q541" s="254"/>
      <c r="R541" s="209" t="str">
        <f t="shared" si="10"/>
        <v/>
      </c>
      <c r="S541" s="187"/>
    </row>
    <row r="542" spans="1:19" ht="18" customHeight="1">
      <c r="A542" s="230"/>
      <c r="B542" s="231"/>
      <c r="C542" s="187"/>
      <c r="D542" s="230"/>
      <c r="E542" s="232"/>
      <c r="F542" s="230"/>
      <c r="G542" s="187"/>
      <c r="H542" s="250"/>
      <c r="J542" s="187"/>
      <c r="M542" s="237"/>
      <c r="N542" s="207"/>
      <c r="O542" s="239"/>
      <c r="P542" s="249"/>
      <c r="Q542" s="254"/>
      <c r="R542" s="209" t="str">
        <f t="shared" si="10"/>
        <v/>
      </c>
      <c r="S542" s="187"/>
    </row>
    <row r="543" spans="1:19" ht="18" customHeight="1">
      <c r="A543" s="230"/>
      <c r="B543" s="231"/>
      <c r="C543" s="187"/>
      <c r="D543" s="230"/>
      <c r="E543" s="232"/>
      <c r="F543" s="230"/>
      <c r="G543" s="187"/>
      <c r="H543" s="250"/>
      <c r="J543" s="187"/>
      <c r="M543" s="237"/>
      <c r="N543" s="207"/>
      <c r="O543" s="239"/>
      <c r="P543" s="249"/>
      <c r="Q543" s="254"/>
      <c r="R543" s="209" t="str">
        <f t="shared" si="10"/>
        <v/>
      </c>
      <c r="S543" s="187"/>
    </row>
    <row r="544" spans="1:19" ht="18" customHeight="1">
      <c r="A544" s="230"/>
      <c r="B544" s="231"/>
      <c r="C544" s="187"/>
      <c r="D544" s="230"/>
      <c r="E544" s="232"/>
      <c r="F544" s="230"/>
      <c r="G544" s="187"/>
      <c r="H544" s="250"/>
      <c r="J544" s="187"/>
      <c r="M544" s="237"/>
      <c r="N544" s="207"/>
      <c r="O544" s="239"/>
      <c r="P544" s="249"/>
      <c r="Q544" s="254"/>
      <c r="R544" s="209" t="str">
        <f t="shared" si="10"/>
        <v/>
      </c>
      <c r="S544" s="187"/>
    </row>
    <row r="545" spans="1:19" ht="18" customHeight="1">
      <c r="A545" s="230"/>
      <c r="B545" s="231"/>
      <c r="C545" s="187"/>
      <c r="D545" s="230"/>
      <c r="E545" s="232"/>
      <c r="F545" s="230"/>
      <c r="G545" s="187"/>
      <c r="H545" s="250"/>
      <c r="J545" s="187"/>
      <c r="M545" s="237"/>
      <c r="N545" s="207"/>
      <c r="O545" s="239"/>
      <c r="P545" s="249"/>
      <c r="Q545" s="254"/>
      <c r="R545" s="209" t="str">
        <f t="shared" si="10"/>
        <v/>
      </c>
      <c r="S545" s="187"/>
    </row>
    <row r="546" spans="1:19" ht="18" customHeight="1">
      <c r="A546" s="230"/>
      <c r="B546" s="231"/>
      <c r="C546" s="187"/>
      <c r="D546" s="230"/>
      <c r="E546" s="232"/>
      <c r="F546" s="230"/>
      <c r="G546" s="187"/>
      <c r="H546" s="250"/>
      <c r="J546" s="187"/>
      <c r="M546" s="237"/>
      <c r="N546" s="207"/>
      <c r="O546" s="239"/>
      <c r="P546" s="249"/>
      <c r="Q546" s="254"/>
      <c r="R546" s="209" t="str">
        <f t="shared" si="10"/>
        <v/>
      </c>
      <c r="S546" s="187"/>
    </row>
    <row r="547" spans="1:19" ht="18" customHeight="1">
      <c r="A547" s="230"/>
      <c r="B547" s="231"/>
      <c r="C547" s="187"/>
      <c r="D547" s="230"/>
      <c r="E547" s="232"/>
      <c r="F547" s="230"/>
      <c r="G547" s="187"/>
      <c r="H547" s="250"/>
      <c r="J547" s="187"/>
      <c r="M547" s="237"/>
      <c r="N547" s="207"/>
      <c r="O547" s="239"/>
      <c r="P547" s="249"/>
      <c r="Q547" s="254"/>
      <c r="R547" s="209" t="str">
        <f t="shared" si="10"/>
        <v/>
      </c>
      <c r="S547" s="187"/>
    </row>
    <row r="548" spans="1:19" ht="18" customHeight="1">
      <c r="A548" s="230"/>
      <c r="B548" s="231"/>
      <c r="C548" s="187"/>
      <c r="D548" s="230"/>
      <c r="E548" s="232"/>
      <c r="F548" s="230"/>
      <c r="G548" s="187"/>
      <c r="H548" s="250"/>
      <c r="J548" s="187"/>
      <c r="M548" s="237"/>
      <c r="N548" s="207"/>
      <c r="O548" s="239"/>
      <c r="P548" s="249"/>
      <c r="Q548" s="254"/>
      <c r="R548" s="209" t="str">
        <f t="shared" si="10"/>
        <v/>
      </c>
      <c r="S548" s="187"/>
    </row>
    <row r="549" spans="1:19" ht="18" customHeight="1">
      <c r="A549" s="230"/>
      <c r="B549" s="231"/>
      <c r="C549" s="187"/>
      <c r="D549" s="230"/>
      <c r="E549" s="232"/>
      <c r="F549" s="230"/>
      <c r="G549" s="187"/>
      <c r="H549" s="250"/>
      <c r="J549" s="187"/>
      <c r="M549" s="237"/>
      <c r="N549" s="207"/>
      <c r="O549" s="239"/>
      <c r="P549" s="249"/>
      <c r="Q549" s="254"/>
      <c r="R549" s="209" t="str">
        <f t="shared" si="10"/>
        <v/>
      </c>
      <c r="S549" s="187"/>
    </row>
    <row r="550" spans="1:19" ht="18" customHeight="1">
      <c r="A550" s="230"/>
      <c r="B550" s="231"/>
      <c r="C550" s="187"/>
      <c r="D550" s="230"/>
      <c r="E550" s="232"/>
      <c r="F550" s="230"/>
      <c r="G550" s="187"/>
      <c r="H550" s="250"/>
      <c r="J550" s="187"/>
      <c r="M550" s="237"/>
      <c r="N550" s="207"/>
      <c r="O550" s="239"/>
      <c r="P550" s="249"/>
      <c r="Q550" s="254"/>
      <c r="R550" s="209" t="str">
        <f t="shared" ref="R550:R613" si="11">IF(SUM(Q550)&gt;0,SUM(Q550-P550),"")</f>
        <v/>
      </c>
      <c r="S550" s="187"/>
    </row>
    <row r="551" spans="1:19" ht="18" customHeight="1">
      <c r="A551" s="230"/>
      <c r="B551" s="231"/>
      <c r="C551" s="187"/>
      <c r="D551" s="230"/>
      <c r="E551" s="232"/>
      <c r="F551" s="230"/>
      <c r="G551" s="187"/>
      <c r="H551" s="250"/>
      <c r="J551" s="187"/>
      <c r="M551" s="237"/>
      <c r="N551" s="207"/>
      <c r="O551" s="239"/>
      <c r="P551" s="249"/>
      <c r="Q551" s="254"/>
      <c r="R551" s="209" t="str">
        <f t="shared" si="11"/>
        <v/>
      </c>
      <c r="S551" s="187"/>
    </row>
    <row r="552" spans="1:19" ht="18" customHeight="1">
      <c r="A552" s="230"/>
      <c r="B552" s="231"/>
      <c r="C552" s="187"/>
      <c r="D552" s="230"/>
      <c r="E552" s="232"/>
      <c r="F552" s="230"/>
      <c r="G552" s="187"/>
      <c r="H552" s="250"/>
      <c r="J552" s="187"/>
      <c r="M552" s="237"/>
      <c r="N552" s="207"/>
      <c r="O552" s="239"/>
      <c r="P552" s="249"/>
      <c r="Q552" s="254"/>
      <c r="R552" s="209" t="str">
        <f t="shared" si="11"/>
        <v/>
      </c>
      <c r="S552" s="187"/>
    </row>
    <row r="553" spans="1:19" ht="18" customHeight="1">
      <c r="A553" s="230"/>
      <c r="B553" s="231"/>
      <c r="C553" s="187"/>
      <c r="D553" s="230"/>
      <c r="E553" s="232"/>
      <c r="F553" s="230"/>
      <c r="G553" s="187"/>
      <c r="H553" s="250"/>
      <c r="J553" s="187"/>
      <c r="M553" s="237"/>
      <c r="N553" s="207"/>
      <c r="O553" s="239"/>
      <c r="P553" s="249"/>
      <c r="Q553" s="254"/>
      <c r="R553" s="209" t="str">
        <f t="shared" si="11"/>
        <v/>
      </c>
      <c r="S553" s="187"/>
    </row>
    <row r="554" spans="1:19" ht="18" customHeight="1">
      <c r="A554" s="230"/>
      <c r="B554" s="231"/>
      <c r="C554" s="187"/>
      <c r="D554" s="230"/>
      <c r="E554" s="232"/>
      <c r="F554" s="230"/>
      <c r="G554" s="187"/>
      <c r="H554" s="250"/>
      <c r="J554" s="187"/>
      <c r="M554" s="237"/>
      <c r="N554" s="207"/>
      <c r="O554" s="239"/>
      <c r="P554" s="249"/>
      <c r="Q554" s="254"/>
      <c r="R554" s="209" t="str">
        <f t="shared" si="11"/>
        <v/>
      </c>
      <c r="S554" s="187"/>
    </row>
    <row r="555" spans="1:19" ht="18" customHeight="1">
      <c r="A555" s="230"/>
      <c r="B555" s="231"/>
      <c r="C555" s="187"/>
      <c r="D555" s="230"/>
      <c r="E555" s="232"/>
      <c r="F555" s="230"/>
      <c r="G555" s="187"/>
      <c r="H555" s="250"/>
      <c r="J555" s="187"/>
      <c r="M555" s="237"/>
      <c r="N555" s="207"/>
      <c r="O555" s="239"/>
      <c r="P555" s="249"/>
      <c r="Q555" s="254"/>
      <c r="R555" s="209" t="str">
        <f t="shared" si="11"/>
        <v/>
      </c>
      <c r="S555" s="187"/>
    </row>
    <row r="556" spans="1:19" ht="18" customHeight="1">
      <c r="A556" s="230"/>
      <c r="B556" s="231"/>
      <c r="C556" s="187"/>
      <c r="D556" s="230"/>
      <c r="E556" s="232"/>
      <c r="F556" s="230"/>
      <c r="G556" s="187"/>
      <c r="H556" s="250"/>
      <c r="J556" s="187"/>
      <c r="M556" s="237"/>
      <c r="N556" s="207"/>
      <c r="O556" s="239"/>
      <c r="P556" s="249"/>
      <c r="Q556" s="254"/>
      <c r="R556" s="209" t="str">
        <f t="shared" si="11"/>
        <v/>
      </c>
      <c r="S556" s="187"/>
    </row>
    <row r="557" spans="1:19" ht="18" customHeight="1">
      <c r="A557" s="230"/>
      <c r="B557" s="231"/>
      <c r="C557" s="187"/>
      <c r="D557" s="230"/>
      <c r="E557" s="232"/>
      <c r="F557" s="230"/>
      <c r="G557" s="187"/>
      <c r="H557" s="250"/>
      <c r="J557" s="187"/>
      <c r="M557" s="237"/>
      <c r="N557" s="207"/>
      <c r="O557" s="239"/>
      <c r="P557" s="249"/>
      <c r="Q557" s="254"/>
      <c r="R557" s="209" t="str">
        <f t="shared" si="11"/>
        <v/>
      </c>
      <c r="S557" s="187"/>
    </row>
    <row r="558" spans="1:19" ht="18" customHeight="1">
      <c r="A558" s="230"/>
      <c r="B558" s="231"/>
      <c r="C558" s="187"/>
      <c r="D558" s="230"/>
      <c r="E558" s="232"/>
      <c r="F558" s="230"/>
      <c r="G558" s="187"/>
      <c r="H558" s="250"/>
      <c r="J558" s="187"/>
      <c r="M558" s="237"/>
      <c r="N558" s="207"/>
      <c r="O558" s="239"/>
      <c r="P558" s="249"/>
      <c r="Q558" s="254"/>
      <c r="R558" s="209" t="str">
        <f t="shared" si="11"/>
        <v/>
      </c>
      <c r="S558" s="187"/>
    </row>
    <row r="559" spans="1:19" ht="18" customHeight="1">
      <c r="A559" s="230"/>
      <c r="B559" s="231"/>
      <c r="C559" s="187"/>
      <c r="D559" s="230"/>
      <c r="E559" s="232"/>
      <c r="F559" s="230"/>
      <c r="G559" s="187"/>
      <c r="H559" s="250"/>
      <c r="J559" s="187"/>
      <c r="M559" s="237"/>
      <c r="N559" s="207"/>
      <c r="O559" s="239"/>
      <c r="P559" s="249"/>
      <c r="Q559" s="254"/>
      <c r="R559" s="209" t="str">
        <f t="shared" si="11"/>
        <v/>
      </c>
      <c r="S559" s="187"/>
    </row>
    <row r="560" spans="1:19" ht="18" customHeight="1">
      <c r="A560" s="230"/>
      <c r="B560" s="231"/>
      <c r="C560" s="187"/>
      <c r="D560" s="230"/>
      <c r="E560" s="232"/>
      <c r="F560" s="230"/>
      <c r="G560" s="187"/>
      <c r="H560" s="250"/>
      <c r="J560" s="187"/>
      <c r="M560" s="237"/>
      <c r="N560" s="207"/>
      <c r="O560" s="239"/>
      <c r="P560" s="249"/>
      <c r="Q560" s="254"/>
      <c r="R560" s="209" t="str">
        <f t="shared" si="11"/>
        <v/>
      </c>
      <c r="S560" s="187"/>
    </row>
    <row r="561" spans="1:19" ht="18" customHeight="1">
      <c r="A561" s="230"/>
      <c r="B561" s="231"/>
      <c r="C561" s="187"/>
      <c r="D561" s="230"/>
      <c r="E561" s="232"/>
      <c r="F561" s="230"/>
      <c r="G561" s="187"/>
      <c r="H561" s="250"/>
      <c r="J561" s="187"/>
      <c r="M561" s="237"/>
      <c r="N561" s="207"/>
      <c r="O561" s="239"/>
      <c r="P561" s="249"/>
      <c r="Q561" s="254"/>
      <c r="R561" s="209" t="str">
        <f t="shared" si="11"/>
        <v/>
      </c>
      <c r="S561" s="187"/>
    </row>
    <row r="562" spans="1:19" ht="18" customHeight="1">
      <c r="A562" s="230"/>
      <c r="B562" s="231"/>
      <c r="C562" s="187"/>
      <c r="D562" s="230"/>
      <c r="E562" s="232"/>
      <c r="F562" s="230"/>
      <c r="G562" s="187"/>
      <c r="H562" s="250"/>
      <c r="J562" s="187"/>
      <c r="M562" s="237"/>
      <c r="N562" s="207"/>
      <c r="O562" s="239"/>
      <c r="P562" s="249"/>
      <c r="Q562" s="254"/>
      <c r="R562" s="209" t="str">
        <f t="shared" si="11"/>
        <v/>
      </c>
      <c r="S562" s="187"/>
    </row>
    <row r="563" spans="1:19" ht="18" customHeight="1">
      <c r="A563" s="230"/>
      <c r="B563" s="231"/>
      <c r="C563" s="187"/>
      <c r="D563" s="230"/>
      <c r="E563" s="232"/>
      <c r="F563" s="230"/>
      <c r="G563" s="187"/>
      <c r="H563" s="250"/>
      <c r="J563" s="187"/>
      <c r="M563" s="237"/>
      <c r="N563" s="207"/>
      <c r="O563" s="239"/>
      <c r="P563" s="249"/>
      <c r="Q563" s="254"/>
      <c r="R563" s="209" t="str">
        <f t="shared" si="11"/>
        <v/>
      </c>
      <c r="S563" s="187"/>
    </row>
    <row r="564" spans="1:19" ht="18" customHeight="1">
      <c r="A564" s="230"/>
      <c r="B564" s="231"/>
      <c r="C564" s="187"/>
      <c r="D564" s="230"/>
      <c r="E564" s="232"/>
      <c r="F564" s="230"/>
      <c r="G564" s="187"/>
      <c r="H564" s="250"/>
      <c r="J564" s="187"/>
      <c r="M564" s="237"/>
      <c r="N564" s="207"/>
      <c r="O564" s="239"/>
      <c r="P564" s="249"/>
      <c r="Q564" s="254"/>
      <c r="R564" s="209" t="str">
        <f t="shared" si="11"/>
        <v/>
      </c>
      <c r="S564" s="187"/>
    </row>
    <row r="565" spans="1:19" ht="18" customHeight="1">
      <c r="A565" s="230"/>
      <c r="B565" s="231"/>
      <c r="C565" s="187"/>
      <c r="D565" s="230"/>
      <c r="E565" s="232"/>
      <c r="F565" s="230"/>
      <c r="G565" s="187"/>
      <c r="H565" s="250"/>
      <c r="J565" s="187"/>
      <c r="M565" s="237"/>
      <c r="N565" s="207"/>
      <c r="O565" s="239"/>
      <c r="P565" s="249"/>
      <c r="Q565" s="254"/>
      <c r="R565" s="209" t="str">
        <f t="shared" si="11"/>
        <v/>
      </c>
      <c r="S565" s="187"/>
    </row>
    <row r="566" spans="1:19" ht="18" customHeight="1">
      <c r="A566" s="230"/>
      <c r="B566" s="231"/>
      <c r="C566" s="187"/>
      <c r="D566" s="230"/>
      <c r="E566" s="232"/>
      <c r="F566" s="230"/>
      <c r="G566" s="187"/>
      <c r="H566" s="250"/>
      <c r="J566" s="187"/>
      <c r="M566" s="237"/>
      <c r="N566" s="207"/>
      <c r="O566" s="239"/>
      <c r="P566" s="249"/>
      <c r="Q566" s="254"/>
      <c r="R566" s="209" t="str">
        <f t="shared" si="11"/>
        <v/>
      </c>
      <c r="S566" s="187"/>
    </row>
    <row r="567" spans="1:19" ht="18" customHeight="1">
      <c r="A567" s="230"/>
      <c r="B567" s="231"/>
      <c r="C567" s="187"/>
      <c r="D567" s="230"/>
      <c r="E567" s="232"/>
      <c r="F567" s="230"/>
      <c r="G567" s="187"/>
      <c r="H567" s="250"/>
      <c r="J567" s="187"/>
      <c r="M567" s="237"/>
      <c r="N567" s="207"/>
      <c r="O567" s="239"/>
      <c r="P567" s="249"/>
      <c r="Q567" s="254"/>
      <c r="R567" s="209" t="str">
        <f t="shared" si="11"/>
        <v/>
      </c>
      <c r="S567" s="187"/>
    </row>
    <row r="568" spans="1:19" ht="18" customHeight="1">
      <c r="A568" s="230"/>
      <c r="B568" s="231"/>
      <c r="C568" s="187"/>
      <c r="D568" s="230"/>
      <c r="E568" s="232"/>
      <c r="F568" s="230"/>
      <c r="G568" s="187"/>
      <c r="H568" s="250"/>
      <c r="J568" s="187"/>
      <c r="M568" s="237"/>
      <c r="N568" s="207"/>
      <c r="O568" s="239"/>
      <c r="P568" s="249"/>
      <c r="Q568" s="254"/>
      <c r="R568" s="209" t="str">
        <f t="shared" si="11"/>
        <v/>
      </c>
      <c r="S568" s="187"/>
    </row>
    <row r="569" spans="1:19" ht="18" customHeight="1">
      <c r="A569" s="230"/>
      <c r="B569" s="231"/>
      <c r="C569" s="187"/>
      <c r="D569" s="230"/>
      <c r="E569" s="232"/>
      <c r="F569" s="230"/>
      <c r="G569" s="187"/>
      <c r="H569" s="250"/>
      <c r="J569" s="187"/>
      <c r="M569" s="237"/>
      <c r="N569" s="207"/>
      <c r="O569" s="239"/>
      <c r="P569" s="249"/>
      <c r="Q569" s="254"/>
      <c r="R569" s="209" t="str">
        <f t="shared" si="11"/>
        <v/>
      </c>
      <c r="S569" s="187"/>
    </row>
    <row r="570" spans="1:19" ht="18" customHeight="1">
      <c r="A570" s="230"/>
      <c r="B570" s="231"/>
      <c r="C570" s="187"/>
      <c r="D570" s="230"/>
      <c r="E570" s="232"/>
      <c r="F570" s="230"/>
      <c r="G570" s="187"/>
      <c r="H570" s="250"/>
      <c r="J570" s="187"/>
      <c r="M570" s="237"/>
      <c r="N570" s="207"/>
      <c r="O570" s="239"/>
      <c r="P570" s="249"/>
      <c r="Q570" s="254"/>
      <c r="R570" s="209" t="str">
        <f t="shared" si="11"/>
        <v/>
      </c>
      <c r="S570" s="187"/>
    </row>
    <row r="571" spans="1:19" ht="18" customHeight="1">
      <c r="A571" s="230"/>
      <c r="B571" s="231"/>
      <c r="C571" s="187"/>
      <c r="D571" s="230"/>
      <c r="E571" s="232"/>
      <c r="F571" s="230"/>
      <c r="G571" s="187"/>
      <c r="H571" s="250"/>
      <c r="J571" s="187"/>
      <c r="M571" s="237"/>
      <c r="N571" s="207"/>
      <c r="O571" s="239"/>
      <c r="P571" s="249"/>
      <c r="Q571" s="254"/>
      <c r="R571" s="209" t="str">
        <f t="shared" si="11"/>
        <v/>
      </c>
      <c r="S571" s="187"/>
    </row>
    <row r="572" spans="1:19" ht="18" customHeight="1">
      <c r="A572" s="230"/>
      <c r="B572" s="231"/>
      <c r="C572" s="187"/>
      <c r="D572" s="230"/>
      <c r="E572" s="232"/>
      <c r="F572" s="230"/>
      <c r="G572" s="187"/>
      <c r="H572" s="250"/>
      <c r="J572" s="187"/>
      <c r="M572" s="237"/>
      <c r="N572" s="207"/>
      <c r="O572" s="239"/>
      <c r="P572" s="249"/>
      <c r="Q572" s="254"/>
      <c r="R572" s="209" t="str">
        <f t="shared" si="11"/>
        <v/>
      </c>
      <c r="S572" s="187"/>
    </row>
    <row r="573" spans="1:19" ht="18" customHeight="1">
      <c r="A573" s="230"/>
      <c r="B573" s="231"/>
      <c r="C573" s="187"/>
      <c r="D573" s="230"/>
      <c r="E573" s="232"/>
      <c r="F573" s="230"/>
      <c r="G573" s="187"/>
      <c r="H573" s="250"/>
      <c r="J573" s="187"/>
      <c r="M573" s="237"/>
      <c r="N573" s="207"/>
      <c r="O573" s="239"/>
      <c r="P573" s="249"/>
      <c r="Q573" s="254"/>
      <c r="R573" s="209" t="str">
        <f t="shared" si="11"/>
        <v/>
      </c>
      <c r="S573" s="187"/>
    </row>
    <row r="574" spans="1:19" ht="18" customHeight="1">
      <c r="A574" s="230"/>
      <c r="B574" s="231"/>
      <c r="C574" s="187"/>
      <c r="D574" s="230"/>
      <c r="E574" s="232"/>
      <c r="F574" s="230"/>
      <c r="G574" s="187"/>
      <c r="H574" s="250"/>
      <c r="J574" s="187"/>
      <c r="M574" s="237"/>
      <c r="N574" s="207"/>
      <c r="O574" s="239"/>
      <c r="P574" s="249"/>
      <c r="Q574" s="254"/>
      <c r="R574" s="209" t="str">
        <f t="shared" si="11"/>
        <v/>
      </c>
      <c r="S574" s="187"/>
    </row>
    <row r="575" spans="1:19" ht="18" customHeight="1">
      <c r="A575" s="230"/>
      <c r="B575" s="231"/>
      <c r="C575" s="187"/>
      <c r="D575" s="230"/>
      <c r="E575" s="232"/>
      <c r="F575" s="230"/>
      <c r="G575" s="187"/>
      <c r="H575" s="250"/>
      <c r="J575" s="187"/>
      <c r="M575" s="237"/>
      <c r="N575" s="207"/>
      <c r="O575" s="239"/>
      <c r="P575" s="249"/>
      <c r="Q575" s="254"/>
      <c r="R575" s="209" t="str">
        <f t="shared" si="11"/>
        <v/>
      </c>
      <c r="S575" s="187"/>
    </row>
    <row r="576" spans="1:19" ht="18" customHeight="1">
      <c r="A576" s="230"/>
      <c r="B576" s="231"/>
      <c r="C576" s="187"/>
      <c r="D576" s="230"/>
      <c r="E576" s="232"/>
      <c r="F576" s="230"/>
      <c r="G576" s="187"/>
      <c r="H576" s="250"/>
      <c r="J576" s="187"/>
      <c r="M576" s="237"/>
      <c r="N576" s="207"/>
      <c r="O576" s="239"/>
      <c r="P576" s="249"/>
      <c r="Q576" s="254"/>
      <c r="R576" s="209" t="str">
        <f t="shared" si="11"/>
        <v/>
      </c>
      <c r="S576" s="187"/>
    </row>
    <row r="577" spans="1:19" ht="18" customHeight="1">
      <c r="A577" s="230"/>
      <c r="B577" s="231"/>
      <c r="C577" s="187"/>
      <c r="D577" s="230"/>
      <c r="E577" s="232"/>
      <c r="F577" s="230"/>
      <c r="G577" s="187"/>
      <c r="H577" s="250"/>
      <c r="J577" s="187"/>
      <c r="M577" s="237"/>
      <c r="N577" s="207"/>
      <c r="O577" s="239"/>
      <c r="P577" s="249"/>
      <c r="Q577" s="254"/>
      <c r="R577" s="209" t="str">
        <f t="shared" si="11"/>
        <v/>
      </c>
      <c r="S577" s="187"/>
    </row>
    <row r="578" spans="1:19" ht="18" customHeight="1">
      <c r="A578" s="230"/>
      <c r="B578" s="231"/>
      <c r="C578" s="187"/>
      <c r="D578" s="230"/>
      <c r="E578" s="232"/>
      <c r="F578" s="230"/>
      <c r="G578" s="187"/>
      <c r="H578" s="250"/>
      <c r="J578" s="187"/>
      <c r="M578" s="237"/>
      <c r="N578" s="207"/>
      <c r="O578" s="239"/>
      <c r="P578" s="249"/>
      <c r="Q578" s="254"/>
      <c r="R578" s="209" t="str">
        <f t="shared" si="11"/>
        <v/>
      </c>
      <c r="S578" s="187"/>
    </row>
    <row r="579" spans="1:19" ht="18" customHeight="1">
      <c r="A579" s="230"/>
      <c r="B579" s="231"/>
      <c r="C579" s="187"/>
      <c r="D579" s="230"/>
      <c r="E579" s="232"/>
      <c r="F579" s="230"/>
      <c r="G579" s="187"/>
      <c r="H579" s="250"/>
      <c r="J579" s="187"/>
      <c r="M579" s="237"/>
      <c r="N579" s="207"/>
      <c r="O579" s="239"/>
      <c r="P579" s="249"/>
      <c r="Q579" s="254"/>
      <c r="R579" s="209" t="str">
        <f t="shared" si="11"/>
        <v/>
      </c>
      <c r="S579" s="187"/>
    </row>
    <row r="580" spans="1:19" ht="18" customHeight="1">
      <c r="A580" s="230"/>
      <c r="B580" s="231"/>
      <c r="C580" s="187"/>
      <c r="D580" s="230"/>
      <c r="E580" s="232"/>
      <c r="F580" s="230"/>
      <c r="G580" s="187"/>
      <c r="H580" s="250"/>
      <c r="J580" s="187"/>
      <c r="M580" s="237"/>
      <c r="N580" s="207"/>
      <c r="O580" s="239"/>
      <c r="P580" s="249"/>
      <c r="Q580" s="254"/>
      <c r="R580" s="209" t="str">
        <f t="shared" si="11"/>
        <v/>
      </c>
      <c r="S580" s="187"/>
    </row>
    <row r="581" spans="1:19" ht="18" customHeight="1">
      <c r="A581" s="230"/>
      <c r="B581" s="231"/>
      <c r="C581" s="187"/>
      <c r="D581" s="230"/>
      <c r="E581" s="232"/>
      <c r="F581" s="230"/>
      <c r="G581" s="187"/>
      <c r="H581" s="250"/>
      <c r="J581" s="187"/>
      <c r="M581" s="237"/>
      <c r="N581" s="207"/>
      <c r="O581" s="239"/>
      <c r="P581" s="249"/>
      <c r="Q581" s="254"/>
      <c r="R581" s="209" t="str">
        <f t="shared" si="11"/>
        <v/>
      </c>
      <c r="S581" s="187"/>
    </row>
    <row r="582" spans="1:19" ht="18" customHeight="1">
      <c r="A582" s="230"/>
      <c r="B582" s="231"/>
      <c r="C582" s="187"/>
      <c r="D582" s="230"/>
      <c r="E582" s="232"/>
      <c r="F582" s="230"/>
      <c r="G582" s="187"/>
      <c r="H582" s="250"/>
      <c r="J582" s="187"/>
      <c r="M582" s="237"/>
      <c r="N582" s="207"/>
      <c r="O582" s="239"/>
      <c r="P582" s="249"/>
      <c r="Q582" s="254"/>
      <c r="R582" s="209" t="str">
        <f t="shared" si="11"/>
        <v/>
      </c>
      <c r="S582" s="187"/>
    </row>
    <row r="583" spans="1:19" ht="18" customHeight="1">
      <c r="A583" s="230"/>
      <c r="B583" s="231"/>
      <c r="C583" s="187"/>
      <c r="D583" s="230"/>
      <c r="E583" s="232"/>
      <c r="F583" s="230"/>
      <c r="G583" s="187"/>
      <c r="H583" s="250"/>
      <c r="J583" s="187"/>
      <c r="M583" s="237"/>
      <c r="N583" s="207"/>
      <c r="O583" s="239"/>
      <c r="P583" s="249"/>
      <c r="Q583" s="254"/>
      <c r="R583" s="209" t="str">
        <f t="shared" si="11"/>
        <v/>
      </c>
      <c r="S583" s="187"/>
    </row>
    <row r="584" spans="1:19" ht="18" customHeight="1">
      <c r="A584" s="230"/>
      <c r="B584" s="231"/>
      <c r="C584" s="187"/>
      <c r="D584" s="230"/>
      <c r="E584" s="232"/>
      <c r="F584" s="230"/>
      <c r="G584" s="187"/>
      <c r="H584" s="250"/>
      <c r="J584" s="187"/>
      <c r="M584" s="237"/>
      <c r="N584" s="207"/>
      <c r="O584" s="239"/>
      <c r="P584" s="249"/>
      <c r="Q584" s="254"/>
      <c r="R584" s="209" t="str">
        <f t="shared" si="11"/>
        <v/>
      </c>
      <c r="S584" s="187"/>
    </row>
    <row r="585" spans="1:19" ht="18" customHeight="1">
      <c r="A585" s="230"/>
      <c r="B585" s="231"/>
      <c r="C585" s="187"/>
      <c r="D585" s="230"/>
      <c r="E585" s="232"/>
      <c r="F585" s="230"/>
      <c r="G585" s="187"/>
      <c r="H585" s="250"/>
      <c r="J585" s="187"/>
      <c r="M585" s="237"/>
      <c r="N585" s="207"/>
      <c r="O585" s="239"/>
      <c r="P585" s="249"/>
      <c r="Q585" s="254"/>
      <c r="R585" s="209" t="str">
        <f t="shared" si="11"/>
        <v/>
      </c>
      <c r="S585" s="187"/>
    </row>
    <row r="586" spans="1:19" ht="18" customHeight="1">
      <c r="A586" s="230"/>
      <c r="B586" s="231"/>
      <c r="C586" s="187"/>
      <c r="D586" s="230"/>
      <c r="E586" s="232"/>
      <c r="F586" s="230"/>
      <c r="G586" s="187"/>
      <c r="H586" s="250"/>
      <c r="J586" s="187"/>
      <c r="M586" s="237"/>
      <c r="N586" s="207"/>
      <c r="O586" s="239"/>
      <c r="P586" s="249"/>
      <c r="Q586" s="254"/>
      <c r="R586" s="209" t="str">
        <f t="shared" si="11"/>
        <v/>
      </c>
      <c r="S586" s="187"/>
    </row>
    <row r="587" spans="1:19" ht="18" customHeight="1">
      <c r="A587" s="230"/>
      <c r="B587" s="231"/>
      <c r="C587" s="187"/>
      <c r="D587" s="230"/>
      <c r="E587" s="232"/>
      <c r="F587" s="230"/>
      <c r="G587" s="187"/>
      <c r="H587" s="250"/>
      <c r="J587" s="187"/>
      <c r="M587" s="237"/>
      <c r="N587" s="207"/>
      <c r="O587" s="239"/>
      <c r="P587" s="249"/>
      <c r="Q587" s="254"/>
      <c r="R587" s="209" t="str">
        <f t="shared" si="11"/>
        <v/>
      </c>
      <c r="S587" s="187"/>
    </row>
    <row r="588" spans="1:19" ht="18" customHeight="1">
      <c r="A588" s="230"/>
      <c r="B588" s="231"/>
      <c r="C588" s="187"/>
      <c r="D588" s="230"/>
      <c r="E588" s="232"/>
      <c r="F588" s="230"/>
      <c r="G588" s="187"/>
      <c r="H588" s="250"/>
      <c r="J588" s="187"/>
      <c r="M588" s="237"/>
      <c r="N588" s="207"/>
      <c r="O588" s="239"/>
      <c r="P588" s="249"/>
      <c r="Q588" s="254"/>
      <c r="R588" s="209" t="str">
        <f t="shared" si="11"/>
        <v/>
      </c>
      <c r="S588" s="187"/>
    </row>
    <row r="589" spans="1:19" ht="18" customHeight="1">
      <c r="A589" s="230"/>
      <c r="B589" s="231"/>
      <c r="C589" s="187"/>
      <c r="D589" s="230"/>
      <c r="E589" s="232"/>
      <c r="F589" s="230"/>
      <c r="G589" s="187"/>
      <c r="H589" s="250"/>
      <c r="J589" s="187"/>
      <c r="M589" s="237"/>
      <c r="N589" s="207"/>
      <c r="O589" s="239"/>
      <c r="P589" s="249"/>
      <c r="Q589" s="254"/>
      <c r="R589" s="209" t="str">
        <f t="shared" si="11"/>
        <v/>
      </c>
      <c r="S589" s="187"/>
    </row>
    <row r="590" spans="1:19" ht="18" customHeight="1">
      <c r="A590" s="230"/>
      <c r="B590" s="231"/>
      <c r="C590" s="187"/>
      <c r="D590" s="230"/>
      <c r="E590" s="232"/>
      <c r="F590" s="230"/>
      <c r="G590" s="187"/>
      <c r="H590" s="250"/>
      <c r="J590" s="187"/>
      <c r="M590" s="237"/>
      <c r="N590" s="207"/>
      <c r="O590" s="239"/>
      <c r="P590" s="249"/>
      <c r="Q590" s="254"/>
      <c r="R590" s="209" t="str">
        <f t="shared" si="11"/>
        <v/>
      </c>
      <c r="S590" s="187"/>
    </row>
    <row r="591" spans="1:19" ht="18" customHeight="1">
      <c r="A591" s="230"/>
      <c r="B591" s="231"/>
      <c r="C591" s="187"/>
      <c r="D591" s="230"/>
      <c r="E591" s="232"/>
      <c r="F591" s="230"/>
      <c r="G591" s="187"/>
      <c r="H591" s="250"/>
      <c r="J591" s="187"/>
      <c r="M591" s="237"/>
      <c r="N591" s="207"/>
      <c r="O591" s="239"/>
      <c r="P591" s="249"/>
      <c r="Q591" s="254"/>
      <c r="R591" s="209" t="str">
        <f t="shared" si="11"/>
        <v/>
      </c>
      <c r="S591" s="187"/>
    </row>
    <row r="592" spans="1:19" ht="18" customHeight="1">
      <c r="A592" s="230"/>
      <c r="B592" s="231"/>
      <c r="C592" s="187"/>
      <c r="D592" s="230"/>
      <c r="E592" s="232"/>
      <c r="F592" s="230"/>
      <c r="G592" s="187"/>
      <c r="H592" s="250"/>
      <c r="J592" s="187"/>
      <c r="M592" s="237"/>
      <c r="N592" s="207"/>
      <c r="O592" s="239"/>
      <c r="P592" s="249"/>
      <c r="Q592" s="254"/>
      <c r="R592" s="209" t="str">
        <f t="shared" si="11"/>
        <v/>
      </c>
      <c r="S592" s="187"/>
    </row>
    <row r="593" spans="1:19" ht="18" customHeight="1">
      <c r="A593" s="230"/>
      <c r="B593" s="231"/>
      <c r="C593" s="187"/>
      <c r="D593" s="230"/>
      <c r="E593" s="232"/>
      <c r="F593" s="230"/>
      <c r="G593" s="187"/>
      <c r="H593" s="250"/>
      <c r="J593" s="187"/>
      <c r="M593" s="237"/>
      <c r="N593" s="207"/>
      <c r="O593" s="239"/>
      <c r="P593" s="249"/>
      <c r="Q593" s="254"/>
      <c r="R593" s="209" t="str">
        <f t="shared" si="11"/>
        <v/>
      </c>
      <c r="S593" s="187"/>
    </row>
    <row r="594" spans="1:19" ht="18" customHeight="1">
      <c r="A594" s="230"/>
      <c r="B594" s="231"/>
      <c r="C594" s="187"/>
      <c r="D594" s="230"/>
      <c r="E594" s="232"/>
      <c r="F594" s="230"/>
      <c r="G594" s="187"/>
      <c r="H594" s="250"/>
      <c r="J594" s="187"/>
      <c r="M594" s="237"/>
      <c r="N594" s="207"/>
      <c r="O594" s="239"/>
      <c r="P594" s="249"/>
      <c r="Q594" s="254"/>
      <c r="R594" s="209" t="str">
        <f t="shared" si="11"/>
        <v/>
      </c>
      <c r="S594" s="187"/>
    </row>
    <row r="595" spans="1:19" ht="18" customHeight="1">
      <c r="A595" s="230"/>
      <c r="B595" s="231"/>
      <c r="C595" s="187"/>
      <c r="D595" s="230"/>
      <c r="E595" s="232"/>
      <c r="F595" s="230"/>
      <c r="G595" s="187"/>
      <c r="H595" s="250"/>
      <c r="J595" s="187"/>
      <c r="M595" s="237"/>
      <c r="N595" s="207"/>
      <c r="O595" s="239"/>
      <c r="P595" s="249"/>
      <c r="Q595" s="254"/>
      <c r="R595" s="209" t="str">
        <f t="shared" si="11"/>
        <v/>
      </c>
      <c r="S595" s="187"/>
    </row>
    <row r="596" spans="1:19" ht="18" customHeight="1">
      <c r="A596" s="230"/>
      <c r="B596" s="231"/>
      <c r="C596" s="187"/>
      <c r="D596" s="230"/>
      <c r="E596" s="232"/>
      <c r="F596" s="230"/>
      <c r="G596" s="187"/>
      <c r="H596" s="250"/>
      <c r="J596" s="187"/>
      <c r="M596" s="237"/>
      <c r="N596" s="207"/>
      <c r="O596" s="239"/>
      <c r="P596" s="249"/>
      <c r="Q596" s="254"/>
      <c r="R596" s="209" t="str">
        <f t="shared" si="11"/>
        <v/>
      </c>
      <c r="S596" s="187"/>
    </row>
    <row r="597" spans="1:19" ht="18" customHeight="1">
      <c r="A597" s="230"/>
      <c r="B597" s="231"/>
      <c r="C597" s="187"/>
      <c r="D597" s="230"/>
      <c r="E597" s="232"/>
      <c r="F597" s="230"/>
      <c r="G597" s="187"/>
      <c r="H597" s="250"/>
      <c r="J597" s="187"/>
      <c r="M597" s="237"/>
      <c r="N597" s="207"/>
      <c r="O597" s="239"/>
      <c r="P597" s="249"/>
      <c r="Q597" s="254"/>
      <c r="R597" s="209" t="str">
        <f t="shared" si="11"/>
        <v/>
      </c>
      <c r="S597" s="187"/>
    </row>
    <row r="598" spans="1:19" ht="18" customHeight="1">
      <c r="A598" s="230"/>
      <c r="B598" s="231"/>
      <c r="C598" s="187"/>
      <c r="D598" s="230"/>
      <c r="E598" s="232"/>
      <c r="F598" s="230"/>
      <c r="G598" s="187"/>
      <c r="H598" s="250"/>
      <c r="J598" s="187"/>
      <c r="M598" s="237"/>
      <c r="N598" s="207"/>
      <c r="O598" s="239"/>
      <c r="P598" s="249"/>
      <c r="Q598" s="254"/>
      <c r="R598" s="209" t="str">
        <f t="shared" si="11"/>
        <v/>
      </c>
      <c r="S598" s="187"/>
    </row>
    <row r="599" spans="1:19" ht="18" customHeight="1">
      <c r="A599" s="230"/>
      <c r="B599" s="231"/>
      <c r="C599" s="187"/>
      <c r="D599" s="230"/>
      <c r="E599" s="232"/>
      <c r="F599" s="230"/>
      <c r="G599" s="187"/>
      <c r="H599" s="250"/>
      <c r="J599" s="187"/>
      <c r="M599" s="237"/>
      <c r="N599" s="207"/>
      <c r="O599" s="239"/>
      <c r="P599" s="249"/>
      <c r="Q599" s="254"/>
      <c r="R599" s="209" t="str">
        <f t="shared" si="11"/>
        <v/>
      </c>
      <c r="S599" s="187"/>
    </row>
    <row r="600" spans="1:19" ht="18" customHeight="1">
      <c r="A600" s="230"/>
      <c r="B600" s="231"/>
      <c r="C600" s="187"/>
      <c r="D600" s="230"/>
      <c r="E600" s="232"/>
      <c r="F600" s="230"/>
      <c r="G600" s="187"/>
      <c r="H600" s="250"/>
      <c r="J600" s="187"/>
      <c r="M600" s="237"/>
      <c r="N600" s="207"/>
      <c r="O600" s="239"/>
      <c r="P600" s="249"/>
      <c r="Q600" s="254"/>
      <c r="R600" s="209" t="str">
        <f t="shared" si="11"/>
        <v/>
      </c>
      <c r="S600" s="187"/>
    </row>
    <row r="601" spans="1:19" ht="18" customHeight="1">
      <c r="A601" s="230"/>
      <c r="B601" s="231"/>
      <c r="C601" s="187"/>
      <c r="D601" s="230"/>
      <c r="E601" s="232"/>
      <c r="F601" s="230"/>
      <c r="G601" s="187"/>
      <c r="H601" s="250"/>
      <c r="J601" s="187"/>
      <c r="M601" s="237"/>
      <c r="N601" s="207"/>
      <c r="O601" s="239"/>
      <c r="P601" s="249"/>
      <c r="Q601" s="254"/>
      <c r="R601" s="209" t="str">
        <f t="shared" si="11"/>
        <v/>
      </c>
      <c r="S601" s="187"/>
    </row>
    <row r="602" spans="1:19" ht="18" customHeight="1">
      <c r="A602" s="230"/>
      <c r="B602" s="231"/>
      <c r="C602" s="187"/>
      <c r="D602" s="230"/>
      <c r="E602" s="232"/>
      <c r="F602" s="230"/>
      <c r="G602" s="187"/>
      <c r="H602" s="250"/>
      <c r="J602" s="187"/>
      <c r="M602" s="237"/>
      <c r="N602" s="207"/>
      <c r="O602" s="239"/>
      <c r="P602" s="249"/>
      <c r="Q602" s="254"/>
      <c r="R602" s="209" t="str">
        <f t="shared" si="11"/>
        <v/>
      </c>
      <c r="S602" s="187"/>
    </row>
    <row r="603" spans="1:19" ht="18" customHeight="1">
      <c r="A603" s="230"/>
      <c r="B603" s="231"/>
      <c r="C603" s="187"/>
      <c r="D603" s="230"/>
      <c r="E603" s="232"/>
      <c r="F603" s="230"/>
      <c r="G603" s="187"/>
      <c r="H603" s="250"/>
      <c r="J603" s="187"/>
      <c r="M603" s="237"/>
      <c r="N603" s="207"/>
      <c r="O603" s="239"/>
      <c r="P603" s="249"/>
      <c r="Q603" s="254"/>
      <c r="R603" s="209" t="str">
        <f t="shared" si="11"/>
        <v/>
      </c>
      <c r="S603" s="187"/>
    </row>
    <row r="604" spans="1:19" ht="18" customHeight="1">
      <c r="A604" s="230"/>
      <c r="B604" s="231"/>
      <c r="C604" s="187"/>
      <c r="D604" s="230"/>
      <c r="E604" s="232"/>
      <c r="F604" s="230"/>
      <c r="G604" s="187"/>
      <c r="H604" s="250"/>
      <c r="J604" s="187"/>
      <c r="M604" s="237"/>
      <c r="N604" s="207"/>
      <c r="O604" s="239"/>
      <c r="P604" s="249"/>
      <c r="Q604" s="254"/>
      <c r="R604" s="209" t="str">
        <f t="shared" si="11"/>
        <v/>
      </c>
      <c r="S604" s="187"/>
    </row>
    <row r="605" spans="1:19" ht="18" customHeight="1">
      <c r="A605" s="230"/>
      <c r="B605" s="231"/>
      <c r="C605" s="187"/>
      <c r="D605" s="230"/>
      <c r="E605" s="232"/>
      <c r="F605" s="230"/>
      <c r="G605" s="187"/>
      <c r="H605" s="250"/>
      <c r="J605" s="187"/>
      <c r="M605" s="237"/>
      <c r="N605" s="207"/>
      <c r="O605" s="239"/>
      <c r="P605" s="249"/>
      <c r="Q605" s="254"/>
      <c r="R605" s="209" t="str">
        <f t="shared" si="11"/>
        <v/>
      </c>
      <c r="S605" s="187"/>
    </row>
    <row r="606" spans="1:19" ht="18" customHeight="1">
      <c r="A606" s="230"/>
      <c r="B606" s="231"/>
      <c r="C606" s="187"/>
      <c r="D606" s="230"/>
      <c r="E606" s="232"/>
      <c r="F606" s="230"/>
      <c r="G606" s="187"/>
      <c r="H606" s="250"/>
      <c r="J606" s="187"/>
      <c r="M606" s="237"/>
      <c r="N606" s="207"/>
      <c r="O606" s="239"/>
      <c r="P606" s="249"/>
      <c r="Q606" s="254"/>
      <c r="R606" s="209" t="str">
        <f t="shared" si="11"/>
        <v/>
      </c>
      <c r="S606" s="187"/>
    </row>
    <row r="607" spans="1:19" ht="18" customHeight="1">
      <c r="A607" s="230"/>
      <c r="B607" s="231"/>
      <c r="C607" s="187"/>
      <c r="D607" s="230"/>
      <c r="E607" s="232"/>
      <c r="F607" s="230"/>
      <c r="G607" s="187"/>
      <c r="H607" s="250"/>
      <c r="J607" s="187"/>
      <c r="M607" s="237"/>
      <c r="N607" s="207"/>
      <c r="O607" s="239"/>
      <c r="P607" s="249"/>
      <c r="Q607" s="254"/>
      <c r="R607" s="209" t="str">
        <f t="shared" si="11"/>
        <v/>
      </c>
      <c r="S607" s="187"/>
    </row>
    <row r="608" spans="1:19" ht="18" customHeight="1">
      <c r="A608" s="230"/>
      <c r="B608" s="231"/>
      <c r="C608" s="187"/>
      <c r="D608" s="230"/>
      <c r="E608" s="232"/>
      <c r="F608" s="230"/>
      <c r="G608" s="187"/>
      <c r="H608" s="250"/>
      <c r="J608" s="187"/>
      <c r="M608" s="237"/>
      <c r="N608" s="207"/>
      <c r="O608" s="239"/>
      <c r="P608" s="249"/>
      <c r="Q608" s="254"/>
      <c r="R608" s="209" t="str">
        <f t="shared" si="11"/>
        <v/>
      </c>
      <c r="S608" s="187"/>
    </row>
    <row r="609" spans="1:19" ht="18" customHeight="1">
      <c r="A609" s="230"/>
      <c r="B609" s="231"/>
      <c r="C609" s="187"/>
      <c r="D609" s="230"/>
      <c r="E609" s="232"/>
      <c r="F609" s="230"/>
      <c r="G609" s="187"/>
      <c r="H609" s="250"/>
      <c r="J609" s="187"/>
      <c r="M609" s="237"/>
      <c r="N609" s="207"/>
      <c r="O609" s="239"/>
      <c r="P609" s="249"/>
      <c r="Q609" s="254"/>
      <c r="R609" s="209" t="str">
        <f t="shared" si="11"/>
        <v/>
      </c>
      <c r="S609" s="187"/>
    </row>
    <row r="610" spans="1:19" ht="18" customHeight="1">
      <c r="A610" s="230"/>
      <c r="B610" s="231"/>
      <c r="C610" s="187"/>
      <c r="D610" s="230"/>
      <c r="E610" s="232"/>
      <c r="F610" s="230"/>
      <c r="G610" s="187"/>
      <c r="H610" s="250"/>
      <c r="J610" s="187"/>
      <c r="M610" s="237"/>
      <c r="N610" s="207"/>
      <c r="O610" s="239"/>
      <c r="P610" s="249"/>
      <c r="Q610" s="254"/>
      <c r="R610" s="209" t="str">
        <f t="shared" si="11"/>
        <v/>
      </c>
      <c r="S610" s="187"/>
    </row>
    <row r="611" spans="1:19" ht="18" customHeight="1">
      <c r="A611" s="230"/>
      <c r="B611" s="231"/>
      <c r="C611" s="187"/>
      <c r="D611" s="230"/>
      <c r="E611" s="232"/>
      <c r="F611" s="230"/>
      <c r="G611" s="187"/>
      <c r="H611" s="250"/>
      <c r="J611" s="187"/>
      <c r="M611" s="237"/>
      <c r="N611" s="207"/>
      <c r="O611" s="239"/>
      <c r="P611" s="249"/>
      <c r="Q611" s="254"/>
      <c r="R611" s="209" t="str">
        <f t="shared" si="11"/>
        <v/>
      </c>
      <c r="S611" s="187"/>
    </row>
    <row r="612" spans="1:19" ht="18" customHeight="1">
      <c r="A612" s="230"/>
      <c r="B612" s="231"/>
      <c r="C612" s="187"/>
      <c r="D612" s="230"/>
      <c r="E612" s="232"/>
      <c r="F612" s="230"/>
      <c r="G612" s="187"/>
      <c r="H612" s="250"/>
      <c r="J612" s="187"/>
      <c r="M612" s="237"/>
      <c r="N612" s="207"/>
      <c r="O612" s="239"/>
      <c r="P612" s="249"/>
      <c r="Q612" s="254"/>
      <c r="R612" s="209" t="str">
        <f t="shared" si="11"/>
        <v/>
      </c>
      <c r="S612" s="187"/>
    </row>
    <row r="613" spans="1:19" ht="18" customHeight="1">
      <c r="A613" s="230"/>
      <c r="B613" s="231"/>
      <c r="C613" s="187"/>
      <c r="D613" s="230"/>
      <c r="E613" s="232"/>
      <c r="F613" s="230"/>
      <c r="G613" s="187"/>
      <c r="H613" s="250"/>
      <c r="J613" s="187"/>
      <c r="M613" s="237"/>
      <c r="N613" s="207"/>
      <c r="O613" s="239"/>
      <c r="P613" s="249"/>
      <c r="Q613" s="254"/>
      <c r="R613" s="209" t="str">
        <f t="shared" si="11"/>
        <v/>
      </c>
      <c r="S613" s="187"/>
    </row>
    <row r="614" spans="1:19" ht="18" customHeight="1">
      <c r="A614" s="230"/>
      <c r="B614" s="231"/>
      <c r="C614" s="187"/>
      <c r="D614" s="230"/>
      <c r="E614" s="232"/>
      <c r="F614" s="230"/>
      <c r="G614" s="187"/>
      <c r="H614" s="250"/>
      <c r="J614" s="187"/>
      <c r="M614" s="237"/>
      <c r="N614" s="207"/>
      <c r="O614" s="239"/>
      <c r="P614" s="249"/>
      <c r="Q614" s="254"/>
      <c r="R614" s="209" t="str">
        <f t="shared" ref="R614:R674" si="12">IF(SUM(Q614)&gt;0,SUM(Q614-P614),"")</f>
        <v/>
      </c>
      <c r="S614" s="187"/>
    </row>
    <row r="615" spans="1:19" ht="18" customHeight="1">
      <c r="A615" s="230"/>
      <c r="B615" s="231"/>
      <c r="C615" s="187"/>
      <c r="D615" s="230"/>
      <c r="E615" s="232"/>
      <c r="F615" s="230"/>
      <c r="G615" s="187"/>
      <c r="H615" s="250"/>
      <c r="J615" s="187"/>
      <c r="M615" s="237"/>
      <c r="N615" s="207"/>
      <c r="O615" s="239"/>
      <c r="P615" s="249"/>
      <c r="Q615" s="254"/>
      <c r="R615" s="209" t="str">
        <f t="shared" si="12"/>
        <v/>
      </c>
      <c r="S615" s="187"/>
    </row>
    <row r="616" spans="1:19" ht="18" customHeight="1">
      <c r="A616" s="230"/>
      <c r="B616" s="231"/>
      <c r="C616" s="187"/>
      <c r="D616" s="230"/>
      <c r="E616" s="232"/>
      <c r="F616" s="230"/>
      <c r="G616" s="187"/>
      <c r="H616" s="250"/>
      <c r="J616" s="187"/>
      <c r="M616" s="237"/>
      <c r="N616" s="207"/>
      <c r="O616" s="239"/>
      <c r="P616" s="249"/>
      <c r="Q616" s="254"/>
      <c r="R616" s="209" t="str">
        <f t="shared" si="12"/>
        <v/>
      </c>
      <c r="S616" s="187"/>
    </row>
    <row r="617" spans="1:19" ht="18" customHeight="1">
      <c r="A617" s="230"/>
      <c r="B617" s="231"/>
      <c r="C617" s="187"/>
      <c r="D617" s="230"/>
      <c r="E617" s="232"/>
      <c r="F617" s="230"/>
      <c r="G617" s="187"/>
      <c r="H617" s="250"/>
      <c r="J617" s="187"/>
      <c r="M617" s="237"/>
      <c r="N617" s="207"/>
      <c r="O617" s="239"/>
      <c r="P617" s="249"/>
      <c r="Q617" s="254"/>
      <c r="R617" s="209" t="str">
        <f t="shared" si="12"/>
        <v/>
      </c>
      <c r="S617" s="187"/>
    </row>
    <row r="618" spans="1:19" ht="18" customHeight="1">
      <c r="A618" s="230"/>
      <c r="B618" s="231"/>
      <c r="C618" s="187"/>
      <c r="D618" s="230"/>
      <c r="E618" s="232"/>
      <c r="F618" s="230"/>
      <c r="G618" s="187"/>
      <c r="H618" s="250"/>
      <c r="J618" s="187"/>
      <c r="M618" s="237"/>
      <c r="N618" s="207"/>
      <c r="O618" s="239"/>
      <c r="P618" s="249"/>
      <c r="Q618" s="254"/>
      <c r="R618" s="209" t="str">
        <f t="shared" si="12"/>
        <v/>
      </c>
      <c r="S618" s="187"/>
    </row>
    <row r="619" spans="1:19" ht="18" customHeight="1">
      <c r="A619" s="230"/>
      <c r="B619" s="231"/>
      <c r="C619" s="187"/>
      <c r="D619" s="230"/>
      <c r="E619" s="232"/>
      <c r="F619" s="230"/>
      <c r="G619" s="187"/>
      <c r="H619" s="250"/>
      <c r="J619" s="187"/>
      <c r="M619" s="237"/>
      <c r="N619" s="207"/>
      <c r="O619" s="239"/>
      <c r="P619" s="249"/>
      <c r="Q619" s="254"/>
      <c r="R619" s="209" t="str">
        <f t="shared" si="12"/>
        <v/>
      </c>
      <c r="S619" s="187"/>
    </row>
    <row r="620" spans="1:19" ht="18" customHeight="1">
      <c r="A620" s="230"/>
      <c r="B620" s="231"/>
      <c r="C620" s="187"/>
      <c r="D620" s="230"/>
      <c r="E620" s="232"/>
      <c r="F620" s="230"/>
      <c r="G620" s="187"/>
      <c r="H620" s="250"/>
      <c r="J620" s="187"/>
      <c r="M620" s="237"/>
      <c r="N620" s="207"/>
      <c r="O620" s="239"/>
      <c r="P620" s="249"/>
      <c r="Q620" s="254"/>
      <c r="R620" s="209" t="str">
        <f t="shared" si="12"/>
        <v/>
      </c>
      <c r="S620" s="187"/>
    </row>
    <row r="621" spans="1:19" ht="18" customHeight="1">
      <c r="A621" s="230"/>
      <c r="B621" s="231"/>
      <c r="C621" s="187"/>
      <c r="D621" s="230"/>
      <c r="E621" s="232"/>
      <c r="F621" s="230"/>
      <c r="G621" s="187"/>
      <c r="H621" s="250"/>
      <c r="J621" s="187"/>
      <c r="M621" s="237"/>
      <c r="N621" s="207"/>
      <c r="O621" s="239"/>
      <c r="P621" s="249"/>
      <c r="Q621" s="254"/>
      <c r="R621" s="209" t="str">
        <f t="shared" si="12"/>
        <v/>
      </c>
      <c r="S621" s="187"/>
    </row>
    <row r="622" spans="1:19" ht="18" customHeight="1">
      <c r="A622" s="230"/>
      <c r="B622" s="231"/>
      <c r="C622" s="187"/>
      <c r="D622" s="230"/>
      <c r="E622" s="232"/>
      <c r="F622" s="230"/>
      <c r="G622" s="187"/>
      <c r="H622" s="250"/>
      <c r="J622" s="187"/>
      <c r="M622" s="237"/>
      <c r="N622" s="207"/>
      <c r="O622" s="239"/>
      <c r="P622" s="249"/>
      <c r="Q622" s="254"/>
      <c r="R622" s="209" t="str">
        <f t="shared" si="12"/>
        <v/>
      </c>
      <c r="S622" s="187"/>
    </row>
    <row r="623" spans="1:19" ht="18" customHeight="1">
      <c r="A623" s="230"/>
      <c r="B623" s="231"/>
      <c r="C623" s="187"/>
      <c r="D623" s="230"/>
      <c r="E623" s="232"/>
      <c r="F623" s="230"/>
      <c r="G623" s="187"/>
      <c r="H623" s="250"/>
      <c r="J623" s="187"/>
      <c r="M623" s="237"/>
      <c r="N623" s="207"/>
      <c r="O623" s="239"/>
      <c r="P623" s="249"/>
      <c r="Q623" s="254"/>
      <c r="R623" s="209" t="str">
        <f t="shared" si="12"/>
        <v/>
      </c>
      <c r="S623" s="187"/>
    </row>
    <row r="624" spans="1:19" ht="18" customHeight="1">
      <c r="A624" s="230"/>
      <c r="B624" s="231"/>
      <c r="C624" s="187"/>
      <c r="D624" s="230"/>
      <c r="E624" s="232"/>
      <c r="F624" s="230"/>
      <c r="G624" s="187"/>
      <c r="H624" s="250"/>
      <c r="J624" s="187"/>
      <c r="M624" s="237"/>
      <c r="N624" s="207"/>
      <c r="O624" s="239"/>
      <c r="P624" s="249"/>
      <c r="Q624" s="254"/>
      <c r="R624" s="209" t="str">
        <f t="shared" si="12"/>
        <v/>
      </c>
      <c r="S624" s="187"/>
    </row>
    <row r="625" spans="1:19" ht="18" customHeight="1">
      <c r="A625" s="230"/>
      <c r="B625" s="231"/>
      <c r="C625" s="187"/>
      <c r="D625" s="230"/>
      <c r="E625" s="232"/>
      <c r="F625" s="230"/>
      <c r="G625" s="187"/>
      <c r="H625" s="250"/>
      <c r="J625" s="187"/>
      <c r="M625" s="237"/>
      <c r="N625" s="207"/>
      <c r="O625" s="239"/>
      <c r="P625" s="249"/>
      <c r="Q625" s="254"/>
      <c r="R625" s="209" t="str">
        <f t="shared" si="12"/>
        <v/>
      </c>
      <c r="S625" s="187"/>
    </row>
    <row r="626" spans="1:19" ht="18" customHeight="1">
      <c r="A626" s="230"/>
      <c r="B626" s="231"/>
      <c r="C626" s="187"/>
      <c r="D626" s="230"/>
      <c r="E626" s="232"/>
      <c r="F626" s="230"/>
      <c r="G626" s="187"/>
      <c r="H626" s="250"/>
      <c r="J626" s="187"/>
      <c r="M626" s="237"/>
      <c r="N626" s="207"/>
      <c r="O626" s="239"/>
      <c r="P626" s="249"/>
      <c r="Q626" s="254"/>
      <c r="R626" s="209" t="str">
        <f t="shared" si="12"/>
        <v/>
      </c>
      <c r="S626" s="187"/>
    </row>
    <row r="627" spans="1:19" ht="18" customHeight="1">
      <c r="A627" s="230"/>
      <c r="B627" s="231"/>
      <c r="C627" s="187"/>
      <c r="D627" s="230"/>
      <c r="E627" s="232"/>
      <c r="F627" s="230"/>
      <c r="G627" s="187"/>
      <c r="H627" s="250"/>
      <c r="J627" s="187"/>
      <c r="M627" s="237"/>
      <c r="N627" s="207"/>
      <c r="O627" s="239"/>
      <c r="P627" s="249"/>
      <c r="Q627" s="254"/>
      <c r="R627" s="209" t="str">
        <f t="shared" si="12"/>
        <v/>
      </c>
      <c r="S627" s="187"/>
    </row>
    <row r="628" spans="1:19" ht="18" customHeight="1">
      <c r="A628" s="230"/>
      <c r="B628" s="231"/>
      <c r="C628" s="187"/>
      <c r="D628" s="230"/>
      <c r="E628" s="232"/>
      <c r="F628" s="230"/>
      <c r="G628" s="187"/>
      <c r="H628" s="250"/>
      <c r="J628" s="187"/>
      <c r="M628" s="237"/>
      <c r="N628" s="207"/>
      <c r="O628" s="239"/>
      <c r="P628" s="249"/>
      <c r="Q628" s="254"/>
      <c r="R628" s="209" t="str">
        <f t="shared" si="12"/>
        <v/>
      </c>
      <c r="S628" s="187"/>
    </row>
    <row r="629" spans="1:19" ht="18" customHeight="1">
      <c r="A629" s="230"/>
      <c r="B629" s="231"/>
      <c r="C629" s="187"/>
      <c r="D629" s="230"/>
      <c r="E629" s="232"/>
      <c r="F629" s="230"/>
      <c r="G629" s="187"/>
      <c r="H629" s="250"/>
      <c r="J629" s="187"/>
      <c r="M629" s="237"/>
      <c r="N629" s="207"/>
      <c r="O629" s="239"/>
      <c r="P629" s="249"/>
      <c r="Q629" s="254"/>
      <c r="R629" s="209" t="str">
        <f t="shared" si="12"/>
        <v/>
      </c>
      <c r="S629" s="187"/>
    </row>
    <row r="630" spans="1:19" ht="18" customHeight="1">
      <c r="A630" s="230"/>
      <c r="B630" s="231"/>
      <c r="C630" s="187"/>
      <c r="D630" s="230"/>
      <c r="E630" s="232"/>
      <c r="F630" s="230"/>
      <c r="G630" s="187"/>
      <c r="H630" s="250"/>
      <c r="J630" s="187"/>
      <c r="M630" s="237"/>
      <c r="N630" s="207"/>
      <c r="O630" s="239"/>
      <c r="P630" s="249"/>
      <c r="Q630" s="254"/>
      <c r="R630" s="209" t="str">
        <f t="shared" si="12"/>
        <v/>
      </c>
      <c r="S630" s="187"/>
    </row>
    <row r="631" spans="1:19" ht="18" customHeight="1">
      <c r="A631" s="230"/>
      <c r="B631" s="231"/>
      <c r="C631" s="187"/>
      <c r="D631" s="230"/>
      <c r="E631" s="232"/>
      <c r="F631" s="230"/>
      <c r="G631" s="187"/>
      <c r="H631" s="250"/>
      <c r="J631" s="187"/>
      <c r="M631" s="237"/>
      <c r="N631" s="207"/>
      <c r="O631" s="239"/>
      <c r="P631" s="249"/>
      <c r="Q631" s="254"/>
      <c r="R631" s="209" t="str">
        <f t="shared" si="12"/>
        <v/>
      </c>
      <c r="S631" s="187"/>
    </row>
    <row r="632" spans="1:19" ht="18" customHeight="1">
      <c r="A632" s="230"/>
      <c r="B632" s="231"/>
      <c r="C632" s="187"/>
      <c r="D632" s="230"/>
      <c r="E632" s="232"/>
      <c r="F632" s="230"/>
      <c r="G632" s="187"/>
      <c r="H632" s="250"/>
      <c r="J632" s="187"/>
      <c r="M632" s="237"/>
      <c r="N632" s="207"/>
      <c r="O632" s="239"/>
      <c r="P632" s="249"/>
      <c r="Q632" s="254"/>
      <c r="R632" s="209" t="str">
        <f t="shared" si="12"/>
        <v/>
      </c>
      <c r="S632" s="187"/>
    </row>
    <row r="633" spans="1:19" ht="18" customHeight="1">
      <c r="A633" s="230"/>
      <c r="B633" s="231"/>
      <c r="C633" s="187"/>
      <c r="D633" s="230"/>
      <c r="E633" s="232"/>
      <c r="F633" s="230"/>
      <c r="G633" s="187"/>
      <c r="H633" s="250"/>
      <c r="J633" s="187"/>
      <c r="M633" s="237"/>
      <c r="N633" s="207"/>
      <c r="O633" s="239"/>
      <c r="P633" s="249"/>
      <c r="Q633" s="254"/>
      <c r="R633" s="209" t="str">
        <f t="shared" si="12"/>
        <v/>
      </c>
      <c r="S633" s="187"/>
    </row>
    <row r="634" spans="1:19" ht="18" customHeight="1">
      <c r="A634" s="230"/>
      <c r="B634" s="231"/>
      <c r="C634" s="187"/>
      <c r="D634" s="230"/>
      <c r="E634" s="232"/>
      <c r="F634" s="230"/>
      <c r="G634" s="187"/>
      <c r="H634" s="250"/>
      <c r="J634" s="187"/>
      <c r="M634" s="237"/>
      <c r="N634" s="207"/>
      <c r="O634" s="239"/>
      <c r="P634" s="249"/>
      <c r="Q634" s="254"/>
      <c r="R634" s="209" t="str">
        <f t="shared" si="12"/>
        <v/>
      </c>
      <c r="S634" s="187"/>
    </row>
    <row r="635" spans="1:19" ht="18" customHeight="1">
      <c r="A635" s="230"/>
      <c r="B635" s="231"/>
      <c r="C635" s="187"/>
      <c r="D635" s="230"/>
      <c r="E635" s="232"/>
      <c r="F635" s="230"/>
      <c r="G635" s="187"/>
      <c r="H635" s="250"/>
      <c r="J635" s="187"/>
      <c r="M635" s="237"/>
      <c r="N635" s="207"/>
      <c r="O635" s="239"/>
      <c r="P635" s="249"/>
      <c r="Q635" s="254"/>
      <c r="R635" s="209" t="str">
        <f t="shared" si="12"/>
        <v/>
      </c>
      <c r="S635" s="187"/>
    </row>
    <row r="636" spans="1:19" ht="18" customHeight="1">
      <c r="A636" s="230"/>
      <c r="B636" s="231"/>
      <c r="C636" s="187"/>
      <c r="D636" s="230"/>
      <c r="E636" s="232"/>
      <c r="F636" s="230"/>
      <c r="G636" s="187"/>
      <c r="H636" s="250"/>
      <c r="J636" s="187"/>
      <c r="M636" s="237"/>
      <c r="N636" s="207"/>
      <c r="O636" s="239"/>
      <c r="P636" s="249"/>
      <c r="Q636" s="254"/>
      <c r="R636" s="209" t="str">
        <f t="shared" si="12"/>
        <v/>
      </c>
      <c r="S636" s="187"/>
    </row>
    <row r="637" spans="1:19" ht="18" customHeight="1">
      <c r="A637" s="230"/>
      <c r="B637" s="231"/>
      <c r="C637" s="187"/>
      <c r="D637" s="230"/>
      <c r="E637" s="232"/>
      <c r="F637" s="230"/>
      <c r="G637" s="187"/>
      <c r="H637" s="250"/>
      <c r="J637" s="187"/>
      <c r="M637" s="237"/>
      <c r="N637" s="207"/>
      <c r="O637" s="239"/>
      <c r="P637" s="249"/>
      <c r="Q637" s="254"/>
      <c r="R637" s="209" t="str">
        <f t="shared" si="12"/>
        <v/>
      </c>
      <c r="S637" s="187"/>
    </row>
    <row r="638" spans="1:19" ht="18" customHeight="1">
      <c r="A638" s="230"/>
      <c r="B638" s="231"/>
      <c r="C638" s="187"/>
      <c r="D638" s="230"/>
      <c r="E638" s="232"/>
      <c r="F638" s="230"/>
      <c r="G638" s="187"/>
      <c r="H638" s="250"/>
      <c r="J638" s="187"/>
      <c r="M638" s="237"/>
      <c r="N638" s="207"/>
      <c r="O638" s="239"/>
      <c r="P638" s="249"/>
      <c r="Q638" s="254"/>
      <c r="R638" s="209" t="str">
        <f t="shared" si="12"/>
        <v/>
      </c>
      <c r="S638" s="187"/>
    </row>
    <row r="639" spans="1:19" ht="18" customHeight="1">
      <c r="A639" s="230"/>
      <c r="B639" s="231"/>
      <c r="C639" s="187"/>
      <c r="D639" s="230"/>
      <c r="E639" s="232"/>
      <c r="F639" s="230"/>
      <c r="G639" s="187"/>
      <c r="H639" s="250"/>
      <c r="J639" s="187"/>
      <c r="M639" s="237"/>
      <c r="N639" s="207"/>
      <c r="O639" s="239"/>
      <c r="P639" s="249"/>
      <c r="Q639" s="254"/>
      <c r="R639" s="209" t="str">
        <f t="shared" si="12"/>
        <v/>
      </c>
      <c r="S639" s="187"/>
    </row>
    <row r="640" spans="1:19" ht="18" customHeight="1">
      <c r="A640" s="230"/>
      <c r="B640" s="231"/>
      <c r="C640" s="187"/>
      <c r="D640" s="230"/>
      <c r="E640" s="232"/>
      <c r="F640" s="230"/>
      <c r="G640" s="187"/>
      <c r="H640" s="250"/>
      <c r="J640" s="187"/>
      <c r="M640" s="237"/>
      <c r="N640" s="207"/>
      <c r="O640" s="239"/>
      <c r="P640" s="249"/>
      <c r="Q640" s="254"/>
      <c r="R640" s="209" t="str">
        <f t="shared" si="12"/>
        <v/>
      </c>
      <c r="S640" s="187"/>
    </row>
    <row r="641" spans="1:19" ht="18" customHeight="1">
      <c r="A641" s="230"/>
      <c r="B641" s="231"/>
      <c r="C641" s="187"/>
      <c r="D641" s="230"/>
      <c r="E641" s="232"/>
      <c r="F641" s="230"/>
      <c r="G641" s="187"/>
      <c r="H641" s="250"/>
      <c r="J641" s="187"/>
      <c r="M641" s="237"/>
      <c r="N641" s="207"/>
      <c r="O641" s="239"/>
      <c r="P641" s="249"/>
      <c r="Q641" s="254"/>
      <c r="R641" s="209" t="str">
        <f t="shared" si="12"/>
        <v/>
      </c>
      <c r="S641" s="187"/>
    </row>
    <row r="642" spans="1:19" ht="18" customHeight="1">
      <c r="A642" s="230"/>
      <c r="B642" s="231"/>
      <c r="C642" s="187"/>
      <c r="D642" s="230"/>
      <c r="E642" s="232"/>
      <c r="F642" s="230"/>
      <c r="G642" s="187"/>
      <c r="H642" s="250"/>
      <c r="J642" s="187"/>
      <c r="M642" s="237"/>
      <c r="N642" s="207"/>
      <c r="O642" s="239"/>
      <c r="P642" s="249"/>
      <c r="Q642" s="254"/>
      <c r="R642" s="209" t="str">
        <f t="shared" si="12"/>
        <v/>
      </c>
      <c r="S642" s="187"/>
    </row>
    <row r="643" spans="1:19" ht="18" customHeight="1">
      <c r="A643" s="230"/>
      <c r="B643" s="231"/>
      <c r="C643" s="187"/>
      <c r="D643" s="230"/>
      <c r="E643" s="232"/>
      <c r="F643" s="230"/>
      <c r="G643" s="187"/>
      <c r="H643" s="250"/>
      <c r="J643" s="187"/>
      <c r="M643" s="237"/>
      <c r="N643" s="207"/>
      <c r="O643" s="239"/>
      <c r="P643" s="249"/>
      <c r="Q643" s="254"/>
      <c r="R643" s="209" t="str">
        <f t="shared" si="12"/>
        <v/>
      </c>
      <c r="S643" s="187"/>
    </row>
    <row r="644" spans="1:19" ht="18" customHeight="1">
      <c r="A644" s="230"/>
      <c r="B644" s="231"/>
      <c r="C644" s="187"/>
      <c r="D644" s="230"/>
      <c r="E644" s="232"/>
      <c r="F644" s="230"/>
      <c r="G644" s="187"/>
      <c r="H644" s="250"/>
      <c r="J644" s="187"/>
      <c r="M644" s="237"/>
      <c r="N644" s="207"/>
      <c r="O644" s="239"/>
      <c r="P644" s="249"/>
      <c r="Q644" s="254"/>
      <c r="R644" s="209" t="str">
        <f t="shared" si="12"/>
        <v/>
      </c>
      <c r="S644" s="187"/>
    </row>
    <row r="645" spans="1:19" ht="18" customHeight="1">
      <c r="A645" s="230"/>
      <c r="B645" s="231"/>
      <c r="C645" s="187"/>
      <c r="D645" s="230"/>
      <c r="E645" s="232"/>
      <c r="F645" s="230"/>
      <c r="G645" s="187"/>
      <c r="H645" s="250"/>
      <c r="J645" s="187"/>
      <c r="M645" s="237"/>
      <c r="N645" s="207"/>
      <c r="O645" s="239"/>
      <c r="P645" s="249"/>
      <c r="Q645" s="254"/>
      <c r="R645" s="209" t="str">
        <f t="shared" si="12"/>
        <v/>
      </c>
      <c r="S645" s="187"/>
    </row>
    <row r="646" spans="1:19" ht="18" customHeight="1">
      <c r="A646" s="230"/>
      <c r="B646" s="231"/>
      <c r="C646" s="187"/>
      <c r="D646" s="230"/>
      <c r="E646" s="232"/>
      <c r="F646" s="230"/>
      <c r="G646" s="187"/>
      <c r="H646" s="250"/>
      <c r="J646" s="187"/>
      <c r="M646" s="237"/>
      <c r="N646" s="207"/>
      <c r="O646" s="239"/>
      <c r="P646" s="249"/>
      <c r="Q646" s="254"/>
      <c r="R646" s="209" t="str">
        <f t="shared" si="12"/>
        <v/>
      </c>
      <c r="S646" s="187"/>
    </row>
    <row r="647" spans="1:19" ht="18" customHeight="1">
      <c r="A647" s="230"/>
      <c r="B647" s="231"/>
      <c r="C647" s="187"/>
      <c r="D647" s="230"/>
      <c r="E647" s="232"/>
      <c r="F647" s="230"/>
      <c r="G647" s="187"/>
      <c r="H647" s="250"/>
      <c r="J647" s="187"/>
      <c r="M647" s="237"/>
      <c r="N647" s="207"/>
      <c r="O647" s="239"/>
      <c r="P647" s="249"/>
      <c r="Q647" s="254"/>
      <c r="R647" s="209" t="str">
        <f t="shared" si="12"/>
        <v/>
      </c>
      <c r="S647" s="187"/>
    </row>
    <row r="648" spans="1:19" ht="18" customHeight="1">
      <c r="A648" s="230"/>
      <c r="B648" s="231"/>
      <c r="C648" s="187"/>
      <c r="D648" s="230"/>
      <c r="E648" s="232"/>
      <c r="F648" s="230"/>
      <c r="G648" s="187"/>
      <c r="H648" s="250"/>
      <c r="J648" s="187"/>
      <c r="M648" s="237"/>
      <c r="N648" s="207"/>
      <c r="O648" s="239"/>
      <c r="P648" s="249"/>
      <c r="Q648" s="254"/>
      <c r="R648" s="209" t="str">
        <f t="shared" si="12"/>
        <v/>
      </c>
      <c r="S648" s="187"/>
    </row>
    <row r="649" spans="1:19" ht="18" customHeight="1">
      <c r="A649" s="230"/>
      <c r="B649" s="231"/>
      <c r="C649" s="187"/>
      <c r="D649" s="230"/>
      <c r="E649" s="232"/>
      <c r="F649" s="230"/>
      <c r="G649" s="187"/>
      <c r="H649" s="250"/>
      <c r="J649" s="187"/>
      <c r="M649" s="237"/>
      <c r="N649" s="207"/>
      <c r="O649" s="239"/>
      <c r="P649" s="249"/>
      <c r="Q649" s="254"/>
      <c r="R649" s="209" t="str">
        <f t="shared" si="12"/>
        <v/>
      </c>
      <c r="S649" s="187"/>
    </row>
    <row r="650" spans="1:19" ht="18" customHeight="1">
      <c r="A650" s="230"/>
      <c r="B650" s="231"/>
      <c r="C650" s="187"/>
      <c r="D650" s="230"/>
      <c r="E650" s="232"/>
      <c r="F650" s="230"/>
      <c r="G650" s="187"/>
      <c r="H650" s="250"/>
      <c r="J650" s="187"/>
      <c r="M650" s="237"/>
      <c r="N650" s="207"/>
      <c r="O650" s="239"/>
      <c r="P650" s="249"/>
      <c r="Q650" s="254"/>
      <c r="R650" s="209" t="str">
        <f t="shared" si="12"/>
        <v/>
      </c>
      <c r="S650" s="187"/>
    </row>
    <row r="651" spans="1:19" ht="18" customHeight="1">
      <c r="A651" s="230"/>
      <c r="B651" s="231"/>
      <c r="C651" s="187"/>
      <c r="D651" s="230"/>
      <c r="E651" s="232"/>
      <c r="F651" s="230"/>
      <c r="G651" s="187"/>
      <c r="H651" s="250"/>
      <c r="J651" s="187"/>
      <c r="M651" s="237"/>
      <c r="N651" s="207"/>
      <c r="O651" s="239"/>
      <c r="P651" s="249"/>
      <c r="Q651" s="254"/>
      <c r="R651" s="209" t="str">
        <f t="shared" si="12"/>
        <v/>
      </c>
      <c r="S651" s="187"/>
    </row>
    <row r="652" spans="1:19" ht="18" customHeight="1">
      <c r="A652" s="230"/>
      <c r="B652" s="231"/>
      <c r="C652" s="187"/>
      <c r="D652" s="230"/>
      <c r="E652" s="232"/>
      <c r="F652" s="230"/>
      <c r="G652" s="187"/>
      <c r="H652" s="250"/>
      <c r="J652" s="187"/>
      <c r="M652" s="237"/>
      <c r="N652" s="207"/>
      <c r="O652" s="239"/>
      <c r="P652" s="249"/>
      <c r="Q652" s="254"/>
      <c r="R652" s="209" t="str">
        <f t="shared" si="12"/>
        <v/>
      </c>
      <c r="S652" s="187"/>
    </row>
    <row r="653" spans="1:19" ht="18" customHeight="1">
      <c r="A653" s="230"/>
      <c r="B653" s="231"/>
      <c r="C653" s="187"/>
      <c r="D653" s="230"/>
      <c r="E653" s="232"/>
      <c r="F653" s="230"/>
      <c r="G653" s="187"/>
      <c r="H653" s="250"/>
      <c r="J653" s="187"/>
      <c r="M653" s="237"/>
      <c r="N653" s="207"/>
      <c r="O653" s="239"/>
      <c r="P653" s="249"/>
      <c r="Q653" s="254"/>
      <c r="R653" s="209" t="str">
        <f t="shared" si="12"/>
        <v/>
      </c>
      <c r="S653" s="187"/>
    </row>
    <row r="654" spans="1:19" ht="18" customHeight="1">
      <c r="A654" s="230"/>
      <c r="B654" s="231"/>
      <c r="C654" s="187"/>
      <c r="D654" s="230"/>
      <c r="E654" s="232"/>
      <c r="F654" s="230"/>
      <c r="G654" s="187"/>
      <c r="H654" s="250"/>
      <c r="J654" s="187"/>
      <c r="M654" s="237"/>
      <c r="N654" s="207"/>
      <c r="O654" s="239"/>
      <c r="P654" s="249"/>
      <c r="Q654" s="254"/>
      <c r="R654" s="209" t="str">
        <f t="shared" si="12"/>
        <v/>
      </c>
      <c r="S654" s="187"/>
    </row>
    <row r="655" spans="1:19" ht="18" customHeight="1">
      <c r="A655" s="230"/>
      <c r="B655" s="231"/>
      <c r="C655" s="187"/>
      <c r="D655" s="230"/>
      <c r="E655" s="232"/>
      <c r="F655" s="230"/>
      <c r="G655" s="187"/>
      <c r="H655" s="250"/>
      <c r="J655" s="187"/>
      <c r="M655" s="237"/>
      <c r="N655" s="207"/>
      <c r="O655" s="239"/>
      <c r="P655" s="249"/>
      <c r="Q655" s="254"/>
      <c r="R655" s="209" t="str">
        <f t="shared" si="12"/>
        <v/>
      </c>
      <c r="S655" s="187"/>
    </row>
    <row r="656" spans="1:19" ht="18" customHeight="1">
      <c r="A656" s="230"/>
      <c r="B656" s="231"/>
      <c r="C656" s="187"/>
      <c r="D656" s="230"/>
      <c r="E656" s="232"/>
      <c r="F656" s="230"/>
      <c r="G656" s="187"/>
      <c r="H656" s="250"/>
      <c r="J656" s="187"/>
      <c r="M656" s="237"/>
      <c r="N656" s="207"/>
      <c r="O656" s="239"/>
      <c r="P656" s="249"/>
      <c r="Q656" s="254"/>
      <c r="R656" s="209" t="str">
        <f t="shared" si="12"/>
        <v/>
      </c>
      <c r="S656" s="187"/>
    </row>
    <row r="657" spans="1:19" ht="18" customHeight="1">
      <c r="A657" s="230"/>
      <c r="B657" s="231"/>
      <c r="C657" s="187"/>
      <c r="D657" s="230"/>
      <c r="E657" s="232"/>
      <c r="F657" s="230"/>
      <c r="G657" s="187"/>
      <c r="H657" s="250"/>
      <c r="J657" s="187"/>
      <c r="M657" s="237"/>
      <c r="N657" s="207"/>
      <c r="O657" s="239"/>
      <c r="P657" s="249"/>
      <c r="Q657" s="254"/>
      <c r="R657" s="209" t="str">
        <f t="shared" si="12"/>
        <v/>
      </c>
      <c r="S657" s="187"/>
    </row>
    <row r="658" spans="1:19" ht="18" customHeight="1">
      <c r="A658" s="230"/>
      <c r="B658" s="231"/>
      <c r="C658" s="187"/>
      <c r="D658" s="230"/>
      <c r="E658" s="232"/>
      <c r="F658" s="230"/>
      <c r="G658" s="187"/>
      <c r="H658" s="250"/>
      <c r="J658" s="187"/>
      <c r="M658" s="237"/>
      <c r="N658" s="207"/>
      <c r="O658" s="239"/>
      <c r="P658" s="249"/>
      <c r="Q658" s="254"/>
      <c r="R658" s="209" t="str">
        <f t="shared" si="12"/>
        <v/>
      </c>
      <c r="S658" s="187"/>
    </row>
    <row r="659" spans="1:19" ht="18" customHeight="1">
      <c r="A659" s="230"/>
      <c r="B659" s="231"/>
      <c r="C659" s="187"/>
      <c r="D659" s="230"/>
      <c r="E659" s="232"/>
      <c r="F659" s="230"/>
      <c r="G659" s="187"/>
      <c r="H659" s="250"/>
      <c r="J659" s="187"/>
      <c r="M659" s="237"/>
      <c r="N659" s="207"/>
      <c r="O659" s="239"/>
      <c r="P659" s="249"/>
      <c r="Q659" s="254"/>
      <c r="R659" s="209" t="str">
        <f t="shared" si="12"/>
        <v/>
      </c>
      <c r="S659" s="187"/>
    </row>
    <row r="660" spans="1:19" ht="18" customHeight="1">
      <c r="A660" s="230"/>
      <c r="B660" s="231"/>
      <c r="C660" s="187"/>
      <c r="D660" s="230"/>
      <c r="E660" s="232"/>
      <c r="F660" s="230"/>
      <c r="G660" s="187"/>
      <c r="H660" s="250"/>
      <c r="J660" s="187"/>
      <c r="M660" s="237"/>
      <c r="N660" s="207"/>
      <c r="O660" s="239"/>
      <c r="P660" s="249"/>
      <c r="Q660" s="254"/>
      <c r="R660" s="209" t="str">
        <f t="shared" si="12"/>
        <v/>
      </c>
      <c r="S660" s="187"/>
    </row>
    <row r="661" spans="1:19" ht="18" customHeight="1">
      <c r="A661" s="230"/>
      <c r="B661" s="231"/>
      <c r="C661" s="187"/>
      <c r="D661" s="230"/>
      <c r="E661" s="232"/>
      <c r="F661" s="230"/>
      <c r="G661" s="187"/>
      <c r="H661" s="250"/>
      <c r="J661" s="187"/>
      <c r="M661" s="237"/>
      <c r="N661" s="207"/>
      <c r="O661" s="239"/>
      <c r="P661" s="249"/>
      <c r="Q661" s="254"/>
      <c r="R661" s="209" t="str">
        <f t="shared" si="12"/>
        <v/>
      </c>
      <c r="S661" s="187"/>
    </row>
    <row r="662" spans="1:19" ht="18" customHeight="1">
      <c r="A662" s="230"/>
      <c r="B662" s="231"/>
      <c r="C662" s="187"/>
      <c r="D662" s="230"/>
      <c r="E662" s="232"/>
      <c r="F662" s="230"/>
      <c r="G662" s="187"/>
      <c r="H662" s="250"/>
      <c r="J662" s="187"/>
      <c r="M662" s="237"/>
      <c r="N662" s="207"/>
      <c r="O662" s="239"/>
      <c r="P662" s="249"/>
      <c r="Q662" s="254"/>
      <c r="R662" s="209" t="str">
        <f t="shared" si="12"/>
        <v/>
      </c>
      <c r="S662" s="187"/>
    </row>
    <row r="663" spans="1:19" ht="18" customHeight="1">
      <c r="A663" s="230"/>
      <c r="B663" s="231"/>
      <c r="C663" s="187"/>
      <c r="D663" s="230"/>
      <c r="E663" s="232"/>
      <c r="F663" s="230"/>
      <c r="G663" s="187"/>
      <c r="H663" s="250"/>
      <c r="J663" s="187"/>
      <c r="M663" s="237"/>
      <c r="N663" s="207"/>
      <c r="O663" s="239"/>
      <c r="P663" s="249"/>
      <c r="Q663" s="254"/>
      <c r="R663" s="209" t="str">
        <f t="shared" si="12"/>
        <v/>
      </c>
      <c r="S663" s="187"/>
    </row>
    <row r="664" spans="1:19" ht="18" customHeight="1">
      <c r="A664" s="230"/>
      <c r="B664" s="231"/>
      <c r="C664" s="187"/>
      <c r="D664" s="230"/>
      <c r="E664" s="232"/>
      <c r="F664" s="230"/>
      <c r="G664" s="187"/>
      <c r="H664" s="250"/>
      <c r="J664" s="187"/>
      <c r="M664" s="237"/>
      <c r="N664" s="207"/>
      <c r="O664" s="239"/>
      <c r="P664" s="249"/>
      <c r="Q664" s="254"/>
      <c r="R664" s="209" t="str">
        <f t="shared" si="12"/>
        <v/>
      </c>
      <c r="S664" s="187"/>
    </row>
    <row r="665" spans="1:19" ht="18" customHeight="1">
      <c r="A665" s="230"/>
      <c r="B665" s="231"/>
      <c r="C665" s="187"/>
      <c r="D665" s="230"/>
      <c r="E665" s="232"/>
      <c r="F665" s="230"/>
      <c r="G665" s="187"/>
      <c r="H665" s="250"/>
      <c r="J665" s="187"/>
      <c r="M665" s="237"/>
      <c r="N665" s="207"/>
      <c r="O665" s="239"/>
      <c r="P665" s="249"/>
      <c r="Q665" s="254"/>
      <c r="R665" s="209" t="str">
        <f t="shared" si="12"/>
        <v/>
      </c>
      <c r="S665" s="187"/>
    </row>
    <row r="666" spans="1:19" ht="18" customHeight="1">
      <c r="A666" s="230"/>
      <c r="B666" s="231"/>
      <c r="C666" s="187"/>
      <c r="D666" s="230"/>
      <c r="E666" s="232"/>
      <c r="F666" s="230"/>
      <c r="G666" s="187"/>
      <c r="H666" s="250"/>
      <c r="J666" s="187"/>
      <c r="M666" s="237"/>
      <c r="N666" s="207"/>
      <c r="O666" s="239"/>
      <c r="P666" s="249"/>
      <c r="Q666" s="254"/>
      <c r="R666" s="209" t="str">
        <f t="shared" si="12"/>
        <v/>
      </c>
      <c r="S666" s="187"/>
    </row>
    <row r="667" spans="1:19" ht="18" customHeight="1">
      <c r="A667" s="230"/>
      <c r="B667" s="231"/>
      <c r="C667" s="187"/>
      <c r="D667" s="230"/>
      <c r="E667" s="232"/>
      <c r="F667" s="230"/>
      <c r="G667" s="187"/>
      <c r="H667" s="250"/>
      <c r="J667" s="187"/>
      <c r="M667" s="237"/>
      <c r="N667" s="207"/>
      <c r="O667" s="239"/>
      <c r="P667" s="249"/>
      <c r="Q667" s="254"/>
      <c r="R667" s="209" t="str">
        <f t="shared" si="12"/>
        <v/>
      </c>
      <c r="S667" s="187"/>
    </row>
    <row r="668" spans="1:19" ht="18" customHeight="1">
      <c r="A668" s="230"/>
      <c r="B668" s="231"/>
      <c r="C668" s="187"/>
      <c r="D668" s="230"/>
      <c r="E668" s="232"/>
      <c r="F668" s="230"/>
      <c r="G668" s="187"/>
      <c r="H668" s="250"/>
      <c r="J668" s="187"/>
      <c r="M668" s="237"/>
      <c r="N668" s="207"/>
      <c r="O668" s="239"/>
      <c r="P668" s="249"/>
      <c r="Q668" s="254"/>
      <c r="R668" s="209" t="str">
        <f t="shared" si="12"/>
        <v/>
      </c>
      <c r="S668" s="187"/>
    </row>
    <row r="669" spans="1:19" ht="18" customHeight="1">
      <c r="A669" s="230"/>
      <c r="B669" s="231"/>
      <c r="C669" s="187"/>
      <c r="D669" s="230"/>
      <c r="E669" s="232"/>
      <c r="F669" s="230"/>
      <c r="G669" s="187"/>
      <c r="H669" s="250"/>
      <c r="J669" s="187"/>
      <c r="M669" s="237"/>
      <c r="N669" s="207"/>
      <c r="O669" s="239"/>
      <c r="P669" s="249"/>
      <c r="Q669" s="254"/>
      <c r="R669" s="209" t="str">
        <f t="shared" si="12"/>
        <v/>
      </c>
      <c r="S669" s="187"/>
    </row>
    <row r="670" spans="1:19" ht="18" customHeight="1">
      <c r="A670" s="230"/>
      <c r="B670" s="231"/>
      <c r="C670" s="187"/>
      <c r="D670" s="230"/>
      <c r="E670" s="232"/>
      <c r="F670" s="230"/>
      <c r="G670" s="187"/>
      <c r="H670" s="250"/>
      <c r="J670" s="187"/>
      <c r="M670" s="237"/>
      <c r="N670" s="207"/>
      <c r="O670" s="239"/>
      <c r="P670" s="249"/>
      <c r="Q670" s="254"/>
      <c r="R670" s="209" t="str">
        <f t="shared" si="12"/>
        <v/>
      </c>
      <c r="S670" s="187"/>
    </row>
    <row r="671" spans="1:19" ht="18" customHeight="1">
      <c r="A671" s="230"/>
      <c r="B671" s="231"/>
      <c r="C671" s="187"/>
      <c r="D671" s="230"/>
      <c r="E671" s="232"/>
      <c r="F671" s="230"/>
      <c r="G671" s="187"/>
      <c r="H671" s="250"/>
      <c r="J671" s="187"/>
      <c r="M671" s="237"/>
      <c r="N671" s="207"/>
      <c r="O671" s="239"/>
      <c r="P671" s="249"/>
      <c r="Q671" s="254"/>
      <c r="R671" s="209" t="str">
        <f t="shared" si="12"/>
        <v/>
      </c>
      <c r="S671" s="187"/>
    </row>
    <row r="672" spans="1:19" ht="18" customHeight="1">
      <c r="A672" s="230"/>
      <c r="B672" s="231"/>
      <c r="C672" s="187"/>
      <c r="D672" s="230"/>
      <c r="E672" s="232"/>
      <c r="F672" s="230"/>
      <c r="G672" s="187"/>
      <c r="H672" s="250"/>
      <c r="J672" s="187"/>
      <c r="M672" s="237"/>
      <c r="N672" s="207"/>
      <c r="O672" s="239"/>
      <c r="P672" s="249"/>
      <c r="Q672" s="254"/>
      <c r="R672" s="209" t="str">
        <f t="shared" si="12"/>
        <v/>
      </c>
      <c r="S672" s="187"/>
    </row>
    <row r="673" spans="1:19" ht="18" customHeight="1">
      <c r="A673" s="230"/>
      <c r="B673" s="231"/>
      <c r="C673" s="187"/>
      <c r="D673" s="230"/>
      <c r="E673" s="232"/>
      <c r="F673" s="230"/>
      <c r="G673" s="187"/>
      <c r="H673" s="250"/>
      <c r="J673" s="187"/>
      <c r="M673" s="237"/>
      <c r="N673" s="207"/>
      <c r="O673" s="239"/>
      <c r="P673" s="249"/>
      <c r="Q673" s="254"/>
      <c r="R673" s="209" t="str">
        <f t="shared" si="12"/>
        <v/>
      </c>
      <c r="S673" s="187"/>
    </row>
    <row r="674" spans="1:19" ht="18" customHeight="1">
      <c r="B674" s="231"/>
      <c r="C674" s="187"/>
      <c r="D674" s="230"/>
      <c r="G674" s="187"/>
      <c r="H674" s="250"/>
      <c r="J674" s="187"/>
      <c r="M674" s="237"/>
      <c r="O674" s="239"/>
      <c r="P674" s="249"/>
      <c r="Q674" s="254"/>
      <c r="R674" s="209" t="str">
        <f t="shared" si="12"/>
        <v/>
      </c>
      <c r="S674" s="187"/>
    </row>
  </sheetData>
  <sheetProtection selectLockedCells="1"/>
  <autoFilter ref="A3:R674" xr:uid="{00000000-0001-0000-0000-000000000000}">
    <sortState xmlns:xlrd2="http://schemas.microsoft.com/office/spreadsheetml/2017/richdata2" ref="A4:R674">
      <sortCondition ref="Q3:Q674"/>
    </sortState>
  </autoFilter>
  <customSheetViews>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278F6D30-0ADB-4747-AB4F-AE60A83ECE6B}">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39F01D06-2E77-46AB-A7B9-AAD9743CF742}">
        <sortState xmlns:xlrd2="http://schemas.microsoft.com/office/spreadsheetml/2017/richdata2" ref="A4:R721">
          <sortCondition ref="Q3:Q721"/>
        </sortState>
      </autoFilter>
    </customSheetView>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D873A14E-B985-49C8-AB4D-FEF9A32C4B08}">
        <sortState xmlns:xlrd2="http://schemas.microsoft.com/office/spreadsheetml/2017/richdata2" ref="A4:R721">
          <sortCondition ref="Q3:Q721"/>
        </sortState>
      </autoFilter>
    </customSheetView>
  </customSheetViews>
  <phoneticPr fontId="0" type="noConversion"/>
  <conditionalFormatting sqref="B4:B7401">
    <cfRule type="expression" dxfId="944" priority="397">
      <formula>Q4&gt;0</formula>
    </cfRule>
  </conditionalFormatting>
  <conditionalFormatting sqref="D1">
    <cfRule type="expression" dxfId="943" priority="240" stopIfTrue="1">
      <formula>Q1&gt;0</formula>
    </cfRule>
  </conditionalFormatting>
  <conditionalFormatting sqref="B4:B5">
    <cfRule type="expression" dxfId="942" priority="2">
      <formula>Q4&gt;0</formula>
    </cfRule>
  </conditionalFormatting>
  <hyperlinks>
    <hyperlink ref="E220" r:id="rId4" xr:uid="{C0623F54-6789-4493-8030-47EA85DCDB52}"/>
    <hyperlink ref="E218" r:id="rId5" xr:uid="{F3EB62A6-3566-47E8-8AC4-90356B99313B}"/>
    <hyperlink ref="E214" r:id="rId6" xr:uid="{59F3F989-7CE8-4812-882F-24E3EF2142A1}"/>
    <hyperlink ref="E204" r:id="rId7" xr:uid="{D1B33595-EF09-46D1-B2E5-3966EB4F40B0}"/>
    <hyperlink ref="E182" r:id="rId8" xr:uid="{D188CE11-B59D-488A-9677-A384251565C1}"/>
    <hyperlink ref="E183" r:id="rId9" xr:uid="{D1CA007F-175C-4C85-A92E-7C98E5412A6E}"/>
    <hyperlink ref="E184" r:id="rId10" xr:uid="{D1B90488-EEED-4DAB-B78D-5537F10D99A1}"/>
    <hyperlink ref="E186" r:id="rId11" xr:uid="{2C09D50F-9ECA-4873-B66E-6B5DC51D1042}"/>
    <hyperlink ref="E187" r:id="rId12" xr:uid="{54B38DA0-927E-4BDB-B276-020EB8E25506}"/>
    <hyperlink ref="E188" r:id="rId13" xr:uid="{9A88D183-370D-4D3E-A97A-B36D508F5153}"/>
    <hyperlink ref="E189" r:id="rId14" xr:uid="{CAF497EC-BD10-467A-83E9-D0A103329DA9}"/>
    <hyperlink ref="E190" r:id="rId15" xr:uid="{CDF978B3-30F2-4ED3-A9BD-F4C28C96CDF5}"/>
    <hyperlink ref="E191" r:id="rId16" xr:uid="{DE1E0EA0-1FC3-4F69-AE17-C3C0170BA249}"/>
    <hyperlink ref="E192" r:id="rId17" xr:uid="{2582A5BD-8510-495A-91B1-E1A23278D72D}"/>
    <hyperlink ref="E193" r:id="rId18" xr:uid="{20BA32FF-2AD1-43E7-BF19-C96804A1A187}"/>
    <hyperlink ref="E195" r:id="rId19" xr:uid="{4F536390-DE61-4E43-9C4E-94F5E8B88551}"/>
    <hyperlink ref="E196" r:id="rId20" xr:uid="{ADFAAE0F-7299-442B-976F-A716810F7CA4}"/>
    <hyperlink ref="E197" r:id="rId21" xr:uid="{00839BD0-B22C-43FA-90D0-85508CEB74D8}"/>
    <hyperlink ref="E198" r:id="rId22" xr:uid="{D85AB260-0A25-4B9B-B45F-B05592C37E0B}"/>
    <hyperlink ref="E180" r:id="rId23" xr:uid="{3D2B3414-8D4C-49FB-8A5E-8207EF4DDED9}"/>
    <hyperlink ref="E172" r:id="rId24" xr:uid="{16828955-9EE5-47D2-B362-B4E5CC2D2DB9}"/>
    <hyperlink ref="E173" r:id="rId25" xr:uid="{2AFA06CB-7561-412E-B98F-D36E76CBD92A}"/>
    <hyperlink ref="E174" r:id="rId26" xr:uid="{FB95DD0D-C62E-42AF-9AEE-CF684CFFD746}"/>
    <hyperlink ref="E176" r:id="rId27" xr:uid="{F65FF1FA-7B4B-4E06-8ACF-2C54494C98AB}"/>
    <hyperlink ref="E168" r:id="rId28" xr:uid="{7E48DF50-2313-403B-8188-A890608F9172}"/>
    <hyperlink ref="E169" r:id="rId29" xr:uid="{AF9D3908-3FFA-430A-A206-E70CA1206DFD}"/>
    <hyperlink ref="E159" r:id="rId30" xr:uid="{90C95D83-2FE7-43B0-8796-B2E685A76423}"/>
    <hyperlink ref="E160" r:id="rId31" xr:uid="{A3F11A14-44DE-4A37-8F73-74164A444C2B}"/>
    <hyperlink ref="E161" r:id="rId32" xr:uid="{9B630958-51E1-40E0-82B5-72061B06869F}"/>
    <hyperlink ref="E162" r:id="rId33" xr:uid="{13FEBEA3-72BA-46DE-B382-BFECC1129B25}"/>
    <hyperlink ref="E163" r:id="rId34" xr:uid="{78CAFB10-5761-45FD-9251-41403A3369BA}"/>
    <hyperlink ref="E164" r:id="rId35" xr:uid="{A6DC8C7F-5C97-4442-B01E-78CB1777A1CB}"/>
    <hyperlink ref="E165" r:id="rId36" xr:uid="{2A23BA2C-1D64-40DD-9892-E9CAC86B2D28}"/>
    <hyperlink ref="E152" r:id="rId37" xr:uid="{E450A7B2-2F4F-4E91-8CC2-55597FAF2ABE}"/>
    <hyperlink ref="E153" r:id="rId38" xr:uid="{A137AAB0-EE0C-4B6D-961D-E8B0EB14B1FF}"/>
    <hyperlink ref="E154" r:id="rId39" xr:uid="{03470A59-AB58-4E43-9DB5-39CC5204767C}"/>
    <hyperlink ref="E155" r:id="rId40" xr:uid="{4C6A45EE-482E-408B-AEB9-F24D728E56A7}"/>
    <hyperlink ref="E157" r:id="rId41" xr:uid="{2FC1E3C6-C908-4626-98D1-CDBD694FF9E3}"/>
    <hyperlink ref="E140" r:id="rId42" xr:uid="{CB68446B-A74F-4194-8E9A-6F65BC03F966}"/>
    <hyperlink ref="E141" r:id="rId43" xr:uid="{3AC67708-7D20-4A14-B0B5-E452072A107E}"/>
    <hyperlink ref="E143" r:id="rId44" xr:uid="{72FBFCF5-9083-4485-87E1-1AFA80B6DCC7}"/>
    <hyperlink ref="E144" r:id="rId45" xr:uid="{3A4436F9-4B86-4F44-8121-DBBAF09A8101}"/>
    <hyperlink ref="E145" r:id="rId46" xr:uid="{97AE2316-3312-4221-AC02-5D2BE8F550C2}"/>
    <hyperlink ref="E146" r:id="rId47" xr:uid="{DC4D1193-C1B3-4BDD-A93A-542F7E9DAC63}"/>
    <hyperlink ref="E147" r:id="rId48" xr:uid="{66311DD7-6B6F-4AA0-848F-D4FDC53B5A28}"/>
    <hyperlink ref="E148" r:id="rId49" xr:uid="{B07C635C-DD6F-46F1-A1B8-E55A228BF81F}"/>
    <hyperlink ref="E124" r:id="rId50" xr:uid="{A9E87F92-E92B-4E27-8037-D5225A98A93C}"/>
    <hyperlink ref="E125" r:id="rId51" xr:uid="{548B5D68-7A2D-402E-AE41-E341D2040269}"/>
    <hyperlink ref="E126" r:id="rId52" xr:uid="{F4B50AF6-1CC9-4A49-A67A-D5F40FEC954C}"/>
    <hyperlink ref="E127" r:id="rId53" xr:uid="{45C279BB-0957-4469-A04D-C3401730EAEF}"/>
    <hyperlink ref="E128" r:id="rId54" xr:uid="{BE817A2E-8BA7-4921-BC9E-A171F530A233}"/>
    <hyperlink ref="E129" r:id="rId55" xr:uid="{FBA11E15-878A-4CF7-B412-D94CD20A26E0}"/>
    <hyperlink ref="E130" r:id="rId56" xr:uid="{EB316BD4-4238-4615-878D-AA25589B365F}"/>
    <hyperlink ref="E131" r:id="rId57" xr:uid="{568B9BEC-2D05-4C66-BCF9-02CA2CECD709}"/>
    <hyperlink ref="E132" r:id="rId58" location="2\rt-88000-0013-01-ga-c.pdf" xr:uid="{B92DD38A-1A5F-441A-A9DD-3CF7F4576448}"/>
    <hyperlink ref="E133" r:id="rId59" xr:uid="{18EA5B84-D27E-4E36-BD01-DE808B9B602C}"/>
    <hyperlink ref="E134" r:id="rId60" xr:uid="{A3A8BDFE-444A-4949-B3D5-8C2E3C858E36}"/>
    <hyperlink ref="E135" r:id="rId61" xr:uid="{D3D6D1F4-5A7C-4609-8D59-9E51CFF4E415}"/>
    <hyperlink ref="E136" r:id="rId62" xr:uid="{ACAE9515-BA28-46EF-AE6E-238DD794C143}"/>
    <hyperlink ref="E137" r:id="rId63" xr:uid="{1F1E3284-8AC3-4F9E-ABBA-9F0C20953A19}"/>
    <hyperlink ref="E138" r:id="rId64" xr:uid="{2F384C47-C17D-4AD7-97ED-A4C60B8158EB}"/>
    <hyperlink ref="E105" r:id="rId65" xr:uid="{302B50D1-F264-4829-82E4-3883A5DD0007}"/>
    <hyperlink ref="E106" r:id="rId66" xr:uid="{AC083736-E6AD-4456-8D6E-D4F370A2DDAE}"/>
    <hyperlink ref="E107" r:id="rId67" xr:uid="{506F236A-7101-4723-9F9B-07683348136D}"/>
    <hyperlink ref="E109" r:id="rId68" xr:uid="{9E36C69B-2B28-4BA3-A8FE-D12CD7C9B505}"/>
    <hyperlink ref="E110" r:id="rId69" xr:uid="{5B58131D-005C-4222-9336-3EF05C96AC16}"/>
    <hyperlink ref="E111" r:id="rId70" xr:uid="{19195D82-E11B-4D1A-A43A-4EC6A70D7273}"/>
    <hyperlink ref="E112" r:id="rId71" xr:uid="{1BBBFAD1-D264-44F5-859F-E1A0D0CDE9DD}"/>
    <hyperlink ref="E113" r:id="rId72" xr:uid="{6B8B4ABA-F81B-4599-B1CC-3C3313968AE4}"/>
    <hyperlink ref="E114" r:id="rId73" xr:uid="{4741744A-ADE8-4B19-99E4-442BE4F75F4A}"/>
    <hyperlink ref="E115" r:id="rId74" xr:uid="{92F6AA55-B04C-48E2-BE04-3F078E6FD7A7}"/>
    <hyperlink ref="E116" r:id="rId75" xr:uid="{19C69808-0142-41CC-9266-5779E9CEDF32}"/>
    <hyperlink ref="E118" r:id="rId76" xr:uid="{3BB6B57C-DDE4-45CD-BDCC-5681B9CA9170}"/>
    <hyperlink ref="E119" r:id="rId77" xr:uid="{1A534F9F-848E-4156-9E56-C2F422B3F6C7}"/>
    <hyperlink ref="E120" r:id="rId78" xr:uid="{9FF8B988-7D4B-43FE-83A0-F4E4220FC992}"/>
    <hyperlink ref="E121" r:id="rId79" xr:uid="{40C7BD9E-4010-4F39-8563-9503FFB831BB}"/>
    <hyperlink ref="E99" r:id="rId80" xr:uid="{9264ADF9-E7E3-4C47-840D-668AB7CB9728}"/>
    <hyperlink ref="E100" r:id="rId81" xr:uid="{32D0B2F0-146D-4110-B4D9-3D6B7ABF0751}"/>
    <hyperlink ref="E101" r:id="rId82" xr:uid="{EE585F3E-6FF2-43F3-B0D1-6F7F22123C57}"/>
    <hyperlink ref="E102" r:id="rId83" xr:uid="{2200D0E1-E3A1-41BE-BF20-C966F75F084A}"/>
    <hyperlink ref="E103" r:id="rId84" xr:uid="{43CE13EB-7AF1-4E0B-98C5-A13E927DF4AD}"/>
    <hyperlink ref="E87" r:id="rId85" xr:uid="{66E092A8-1BAC-4202-ABBD-6A628BEC36ED}"/>
    <hyperlink ref="E88" r:id="rId86" xr:uid="{99936405-26B2-4EF1-874A-56A6C3C42A04}"/>
    <hyperlink ref="E90" r:id="rId87" xr:uid="{E53AAF80-FF5D-412F-8F9D-6BF03CD5471E}"/>
    <hyperlink ref="E91" r:id="rId88" xr:uid="{539C2345-12B2-4A1F-A250-521CE3AAFE4E}"/>
    <hyperlink ref="E92" r:id="rId89" xr:uid="{36C97526-9EB7-4F82-B9B5-105396BC5070}"/>
    <hyperlink ref="E93" r:id="rId90" xr:uid="{BF02708E-4844-4DD6-ACB6-324216B82637}"/>
    <hyperlink ref="E94" r:id="rId91" xr:uid="{4181280E-DEDE-4769-9C34-B9667E2EBD9C}"/>
    <hyperlink ref="E95" r:id="rId92" xr:uid="{C585668C-6F83-4CC6-94CE-406DA50358AD}"/>
    <hyperlink ref="E96" r:id="rId93" xr:uid="{FAE595BE-73B4-4B17-8058-2A5198C7692C}"/>
    <hyperlink ref="E97" r:id="rId94" xr:uid="{C3E8C96A-8506-413C-96B2-12E5B3499EC0}"/>
    <hyperlink ref="E81" r:id="rId95" xr:uid="{623B28C0-F8D8-4170-879A-E95C1FC04F7B}"/>
    <hyperlink ref="E82" r:id="rId96" xr:uid="{58B060C6-921F-49C0-8850-37B0568FC14A}"/>
    <hyperlink ref="E84" r:id="rId97" xr:uid="{158B0A55-15AB-43F1-B072-E54FD2D2EC13}"/>
    <hyperlink ref="E85" r:id="rId98" xr:uid="{7EB6166D-C265-4A41-8700-05CEB99DDCB2}"/>
    <hyperlink ref="E75" r:id="rId99" xr:uid="{2ED47558-3C77-4BFD-A766-E80EF0DE44D5}"/>
    <hyperlink ref="E70" r:id="rId100" display="RT-87250-0400-01-GA-E" xr:uid="{D3E82E37-C722-4DCE-85BB-64D9EB556B3A}"/>
    <hyperlink ref="E73" r:id="rId101" xr:uid="{F9C1BFA6-C39D-4BD2-9EE5-0F193C77053D}"/>
    <hyperlink ref="E59" r:id="rId102" xr:uid="{21E0B005-9A50-4736-9DA3-3CC463072D92}"/>
    <hyperlink ref="E60" r:id="rId103" xr:uid="{A68B3B07-23E0-4302-8E4F-829FDDA0CFA2}"/>
    <hyperlink ref="E62" r:id="rId104" xr:uid="{5E77E189-DE2E-4DD2-A15C-0870D289E447}"/>
    <hyperlink ref="E64" r:id="rId105" xr:uid="{7973A596-3DD4-4F22-BDF4-1B979D4173A9}"/>
    <hyperlink ref="E66" r:id="rId106" display="RT-79112-0300-01-GA-E" xr:uid="{CDCAC712-0685-4E81-A533-E275D0DFA455}"/>
    <hyperlink ref="E50" r:id="rId107" xr:uid="{F504E08C-F8EC-4D01-897D-C84724AFA524}"/>
    <hyperlink ref="E51" r:id="rId108" xr:uid="{E0691D7E-B30A-40CA-8896-98BB25E8BF5A}"/>
    <hyperlink ref="E40" r:id="rId109" xr:uid="{B584F7F1-09D6-4A3D-8C21-4AB8B17338EE}"/>
    <hyperlink ref="E41" r:id="rId110" xr:uid="{0D25D019-650C-4F8C-8CCD-8A96DD0BFEF2}"/>
    <hyperlink ref="E42" r:id="rId111" xr:uid="{3374CA55-425C-4CEC-A7CD-B21A741B85B7}"/>
    <hyperlink ref="E43" r:id="rId112" xr:uid="{70289BC4-0162-43B2-A205-A75F433C5B3D}"/>
    <hyperlink ref="E44" r:id="rId113" xr:uid="{363727A3-C715-4605-8290-AF6EFE86DC73}"/>
    <hyperlink ref="E45" r:id="rId114" xr:uid="{08094277-F1FB-4C99-9C3D-583C93242B5E}"/>
    <hyperlink ref="E46" r:id="rId115" xr:uid="{D56C480B-76E6-49A6-8584-258E32A2B0AC}"/>
    <hyperlink ref="E47" r:id="rId116" xr:uid="{3AFD6668-342C-45B5-B0E5-7E46489E49BD}"/>
    <hyperlink ref="E48" r:id="rId117" xr:uid="{83588362-C110-4BBB-AF2A-1900F2D0D05A}"/>
    <hyperlink ref="E30" r:id="rId118" xr:uid="{B7D31F61-DB1B-4ECA-B6CC-2FADDDB2BCCF}"/>
    <hyperlink ref="E31" r:id="rId119" xr:uid="{97B829FD-94DD-4AAF-8ADF-26A4FE2CFEE3}"/>
    <hyperlink ref="E32" r:id="rId120" xr:uid="{97392006-0871-412B-A1CA-903947008AD5}"/>
    <hyperlink ref="E33" r:id="rId121" xr:uid="{693A2910-9180-498F-BB8D-F4A8D7CA3000}"/>
    <hyperlink ref="E34" r:id="rId122" xr:uid="{CD237A06-49C1-4D97-A4D4-9C3073B2FC11}"/>
    <hyperlink ref="E35" r:id="rId123" xr:uid="{AB301523-46D9-479B-B271-549133A66ED6}"/>
    <hyperlink ref="E36" r:id="rId124" xr:uid="{83379087-4D1C-4940-AD84-9671D24D1E36}"/>
    <hyperlink ref="E37" r:id="rId125" xr:uid="{C371F382-BB83-4B41-855D-DEE79BB1702C}"/>
    <hyperlink ref="E38" r:id="rId126" xr:uid="{57F84B5C-3D5F-4834-A758-07D345672DD9}"/>
    <hyperlink ref="E17" r:id="rId127" xr:uid="{0567B089-AE3C-40EA-B947-6B62B5DA9718}"/>
    <hyperlink ref="E19" r:id="rId128" xr:uid="{92432F30-E564-408E-AE8A-801998A0881D}"/>
    <hyperlink ref="E13" r:id="rId129" xr:uid="{BC29DE8F-B8B7-40F7-BD11-099D2DBAF63C}"/>
    <hyperlink ref="E15" r:id="rId130" xr:uid="{02007DB1-DC1C-44F6-A762-8B13F2ADC0BE}"/>
    <hyperlink ref="E4" r:id="rId131" xr:uid="{6C97F6F8-C72C-4781-B702-3FBDC98B7CEB}"/>
    <hyperlink ref="E71" r:id="rId132" xr:uid="{00ABDB36-5755-4739-82FA-5A4AF27780C1}"/>
    <hyperlink ref="E255" r:id="rId133" xr:uid="{9EC0CEAD-D5CE-46E7-917C-1F3E30CA899C}"/>
    <hyperlink ref="E206" r:id="rId134" xr:uid="{00FBF373-F94E-4F19-A9DB-E625F8DFB26F}"/>
    <hyperlink ref="E234" r:id="rId135" xr:uid="{D77FD060-0A62-42C0-BC6D-87CCCFDB0944}"/>
    <hyperlink ref="E253" r:id="rId136" xr:uid="{244BB5A5-A951-4F89-8DC6-B2159ED506C8}"/>
  </hyperlinks>
  <printOptions gridLines="1"/>
  <pageMargins left="0" right="0" top="0" bottom="0" header="0.5" footer="0.5"/>
  <pageSetup scale="65" orientation="landscape" r:id="rId137"/>
  <headerFooter alignWithMargins="0"/>
  <drawing r:id="rId138"/>
  <legacyDrawing r:id="rId139"/>
  <mc:AlternateContent xmlns:mc="http://schemas.openxmlformats.org/markup-compatibility/2006">
    <mc:Choice Requires="x14">
      <controls>
        <mc:AlternateContent xmlns:mc="http://schemas.openxmlformats.org/markup-compatibility/2006">
          <mc:Choice Requires="x14">
            <control shapeId="577125" r:id="rId140" name="Button 2661">
              <controlPr defaultSize="0" print="0" autoFill="0" autoPict="0" macro="[0]!MPDataXfer">
                <anchor>
                  <from>
                    <xdr:col>3</xdr:col>
                    <xdr:colOff>146050</xdr:colOff>
                    <xdr:row>0</xdr:row>
                    <xdr:rowOff>114300</xdr:rowOff>
                  </from>
                  <to>
                    <xdr:col>4</xdr:col>
                    <xdr:colOff>1562100</xdr:colOff>
                    <xdr:row>0</xdr:row>
                    <xdr:rowOff>571500</xdr:rowOff>
                  </to>
                </anchor>
              </controlPr>
            </control>
          </mc:Choice>
        </mc:AlternateContent>
        <mc:AlternateContent xmlns:mc="http://schemas.openxmlformats.org/markup-compatibility/2006">
          <mc:Choice Requires="x14">
            <control shapeId="577135" r:id="rId141" name="Button 2671">
              <controlPr defaultSize="0" print="0" autoFill="0" autoPict="0" macro="[0]!OpenInputForm">
                <anchor>
                  <from>
                    <xdr:col>6</xdr:col>
                    <xdr:colOff>1181100</xdr:colOff>
                    <xdr:row>0</xdr:row>
                    <xdr:rowOff>114300</xdr:rowOff>
                  </from>
                  <to>
                    <xdr:col>9</xdr:col>
                    <xdr:colOff>641350</xdr:colOff>
                    <xdr:row>0</xdr:row>
                    <xdr:rowOff>571500</xdr:rowOff>
                  </to>
                </anchor>
              </controlPr>
            </control>
          </mc:Choice>
        </mc:AlternateContent>
        <mc:AlternateContent xmlns:mc="http://schemas.openxmlformats.org/markup-compatibility/2006">
          <mc:Choice Requires="x14">
            <control shapeId="577139" r:id="rId142" name="Button 2675">
              <controlPr defaultSize="0" print="0" autoFill="0" autoPict="0" macro="[0]!MPDataXferL">
                <anchor>
                  <from>
                    <xdr:col>4</xdr:col>
                    <xdr:colOff>1708150</xdr:colOff>
                    <xdr:row>0</xdr:row>
                    <xdr:rowOff>114300</xdr:rowOff>
                  </from>
                  <to>
                    <xdr:col>6</xdr:col>
                    <xdr:colOff>1066800</xdr:colOff>
                    <xdr:row>0</xdr:row>
                    <xdr:rowOff>571500</xdr:rowOff>
                  </to>
                </anchor>
              </controlPr>
            </control>
          </mc:Choice>
        </mc:AlternateContent>
        <mc:AlternateContent xmlns:mc="http://schemas.openxmlformats.org/markup-compatibility/2006">
          <mc:Choice Requires="x14">
            <control shapeId="577159" r:id="rId143" name="Button 2695">
              <controlPr defaultSize="0" print="0" autoFill="0" autoPict="0" macro="[0]!LookForFile">
                <anchor>
                  <from>
                    <xdr:col>0</xdr:col>
                    <xdr:colOff>336550</xdr:colOff>
                    <xdr:row>0</xdr:row>
                    <xdr:rowOff>114300</xdr:rowOff>
                  </from>
                  <to>
                    <xdr:col>3</xdr:col>
                    <xdr:colOff>31750</xdr:colOff>
                    <xdr:row>0</xdr:row>
                    <xdr:rowOff>571500</xdr:rowOff>
                  </to>
                </anchor>
              </controlPr>
            </control>
          </mc:Choice>
        </mc:AlternateContent>
        <mc:AlternateContent xmlns:mc="http://schemas.openxmlformats.org/markup-compatibility/2006">
          <mc:Choice Requires="x14">
            <control shapeId="577313" r:id="rId144" name="Button 2849">
              <controlPr defaultSize="0" print="0" autoFill="0" autoPict="0" macro="[0]!AddComment">
                <anchor>
                  <from>
                    <xdr:col>9</xdr:col>
                    <xdr:colOff>755650</xdr:colOff>
                    <xdr:row>0</xdr:row>
                    <xdr:rowOff>114300</xdr:rowOff>
                  </from>
                  <to>
                    <xdr:col>10</xdr:col>
                    <xdr:colOff>76200</xdr:colOff>
                    <xdr:row>0</xdr:row>
                    <xdr:rowOff>571500</xdr:rowOff>
                  </to>
                </anchor>
              </controlPr>
            </control>
          </mc:Choice>
        </mc:AlternateContent>
        <mc:AlternateContent xmlns:mc="http://schemas.openxmlformats.org/markup-compatibility/2006">
          <mc:Choice Requires="x14">
            <control shapeId="610563" r:id="rId145" name="Button 3331">
              <controlPr defaultSize="0" print="0" autoFill="0" autoPict="0" macro="[0]!MPDataXferLMHI">
                <anchor>
                  <from>
                    <xdr:col>3</xdr:col>
                    <xdr:colOff>146050</xdr:colOff>
                    <xdr:row>1</xdr:row>
                    <xdr:rowOff>69850</xdr:rowOff>
                  </from>
                  <to>
                    <xdr:col>4</xdr:col>
                    <xdr:colOff>1562100</xdr:colOff>
                    <xdr:row>1</xdr:row>
                    <xdr:rowOff>527050</xdr:rowOff>
                  </to>
                </anchor>
              </controlPr>
            </control>
          </mc:Choice>
        </mc:AlternateContent>
        <mc:AlternateContent xmlns:mc="http://schemas.openxmlformats.org/markup-compatibility/2006">
          <mc:Choice Requires="x14">
            <control shapeId="616243" r:id="rId146" name="Button 4915">
              <controlPr defaultSize="0" print="0" autoFill="0" autoPict="0" macro="[0]!PastDUE">
                <anchor>
                  <from>
                    <xdr:col>4</xdr:col>
                    <xdr:colOff>1708150</xdr:colOff>
                    <xdr:row>1</xdr:row>
                    <xdr:rowOff>69850</xdr:rowOff>
                  </from>
                  <to>
                    <xdr:col>6</xdr:col>
                    <xdr:colOff>1066800</xdr:colOff>
                    <xdr:row>1</xdr:row>
                    <xdr:rowOff>527050</xdr:rowOff>
                  </to>
                </anchor>
              </controlPr>
            </control>
          </mc:Choice>
        </mc:AlternateContent>
        <mc:AlternateContent xmlns:mc="http://schemas.openxmlformats.org/markup-compatibility/2006">
          <mc:Choice Requires="x14">
            <control shapeId="626993" r:id="rId147" name="Button 5425">
              <controlPr defaultSize="0" print="0" autoFill="0" autoPict="0" macro="[0]!cmdPrint_Click">
                <anchor>
                  <from>
                    <xdr:col>0</xdr:col>
                    <xdr:colOff>336550</xdr:colOff>
                    <xdr:row>1</xdr:row>
                    <xdr:rowOff>38100</xdr:rowOff>
                  </from>
                  <to>
                    <xdr:col>3</xdr:col>
                    <xdr:colOff>31750</xdr:colOff>
                    <xdr:row>1</xdr:row>
                    <xdr:rowOff>495300</xdr:rowOff>
                  </to>
                </anchor>
              </controlPr>
            </control>
          </mc:Choice>
        </mc:AlternateContent>
        <mc:AlternateContent xmlns:mc="http://schemas.openxmlformats.org/markup-compatibility/2006">
          <mc:Choice Requires="x14">
            <control shapeId="627083" r:id="rId148" name="Button 5515">
              <controlPr defaultSize="0" print="0" autoFill="0" autoPict="0" macro="[0]!KinectrisData">
                <anchor>
                  <from>
                    <xdr:col>6</xdr:col>
                    <xdr:colOff>1181100</xdr:colOff>
                    <xdr:row>1</xdr:row>
                    <xdr:rowOff>69850</xdr:rowOff>
                  </from>
                  <to>
                    <xdr:col>9</xdr:col>
                    <xdr:colOff>641350</xdr:colOff>
                    <xdr:row>1</xdr:row>
                    <xdr:rowOff>527050</xdr:rowOff>
                  </to>
                </anchor>
              </controlPr>
            </control>
          </mc:Choice>
        </mc:AlternateContent>
        <mc:AlternateContent xmlns:mc="http://schemas.openxmlformats.org/markup-compatibility/2006">
          <mc:Choice Requires="x14">
            <control shapeId="641148" r:id="rId149" name="Button 6268">
              <controlPr defaultSize="0" print="0" autoFill="0" autoPict="0" macro="[0]!FixButton.FixButton">
                <anchor>
                  <from>
                    <xdr:col>10</xdr:col>
                    <xdr:colOff>222250</xdr:colOff>
                    <xdr:row>0</xdr:row>
                    <xdr:rowOff>107950</xdr:rowOff>
                  </from>
                  <to>
                    <xdr:col>11</xdr:col>
                    <xdr:colOff>1060450</xdr:colOff>
                    <xdr:row>0</xdr:row>
                    <xdr:rowOff>565150</xdr:rowOff>
                  </to>
                </anchor>
              </controlPr>
            </control>
          </mc:Choice>
        </mc:AlternateContent>
        <mc:AlternateContent xmlns:mc="http://schemas.openxmlformats.org/markup-compatibility/2006">
          <mc:Choice Requires="x14">
            <control shapeId="641149" r:id="rId150" name="Button 6269">
              <controlPr defaultSize="0" print="0" autoFill="0" autoPict="0" macro="[0]!Delete_Crossed_Out_Shipping">
                <anchor>
                  <from>
                    <xdr:col>9</xdr:col>
                    <xdr:colOff>723900</xdr:colOff>
                    <xdr:row>1</xdr:row>
                    <xdr:rowOff>69850</xdr:rowOff>
                  </from>
                  <to>
                    <xdr:col>10</xdr:col>
                    <xdr:colOff>69850</xdr:colOff>
                    <xdr:row>1</xdr:row>
                    <xdr:rowOff>527050</xdr:rowOff>
                  </to>
                </anchor>
              </controlPr>
            </control>
          </mc:Choice>
        </mc:AlternateContent>
        <mc:AlternateContent xmlns:mc="http://schemas.openxmlformats.org/markup-compatibility/2006">
          <mc:Choice Requires="x14">
            <control shapeId="662548" r:id="rId151" name="Button 10260">
              <controlPr defaultSize="0" print="0" autoFill="0" autoPict="0" macro="[0]!CreateHyperlinks">
                <anchor>
                  <from>
                    <xdr:col>10</xdr:col>
                    <xdr:colOff>222250</xdr:colOff>
                    <xdr:row>1</xdr:row>
                    <xdr:rowOff>69850</xdr:rowOff>
                  </from>
                  <to>
                    <xdr:col>11</xdr:col>
                    <xdr:colOff>1060450</xdr:colOff>
                    <xdr:row>1</xdr:row>
                    <xdr:rowOff>527050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zoomScale="55" zoomScaleNormal="55" zoomScaleSheetLayoutView="100" workbookViewId="0">
      <selection activeCell="E5" sqref="E5"/>
    </sheetView>
  </sheetViews>
  <sheetFormatPr defaultColWidth="9.453125" defaultRowHeight="22.5"/>
  <cols>
    <col min="1" max="1" width="1.54296875" style="18" customWidth="1"/>
    <col min="2" max="2" width="1.453125" style="18" customWidth="1"/>
    <col min="3" max="3" width="28.54296875" style="19" customWidth="1"/>
    <col min="4" max="4" width="1.453125" style="18" customWidth="1"/>
    <col min="5" max="5" width="51.453125" style="18" customWidth="1"/>
    <col min="6" max="6" width="13.453125" style="18" customWidth="1"/>
    <col min="7" max="7" width="11.453125" style="18" customWidth="1"/>
    <col min="8" max="10" width="9.453125" style="18" hidden="1" customWidth="1"/>
    <col min="11" max="16384" width="9.453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39378</v>
      </c>
      <c r="F5" s="5"/>
      <c r="G5" s="382">
        <v>39377</v>
      </c>
    </row>
    <row r="6" spans="3:10" s="1" customFormat="1" ht="6" customHeight="1">
      <c r="C6" s="2"/>
      <c r="E6" s="27"/>
      <c r="F6" s="32"/>
      <c r="G6" s="28"/>
    </row>
    <row r="7" spans="3:10" s="1" customFormat="1" ht="25.5" customHeight="1">
      <c r="C7" s="6" t="s">
        <v>8</v>
      </c>
      <c r="E7" s="171">
        <f>G7+1</f>
        <v>73321</v>
      </c>
      <c r="F7" s="5"/>
      <c r="G7" s="383">
        <v>73320</v>
      </c>
      <c r="H7" s="33">
        <v>73298</v>
      </c>
      <c r="I7" s="1">
        <v>1</v>
      </c>
      <c r="J7" s="1">
        <f>H7-I7</f>
        <v>73297</v>
      </c>
    </row>
    <row r="8" spans="3:10" s="1" customFormat="1" ht="6" customHeight="1">
      <c r="C8" s="2"/>
      <c r="E8" s="25"/>
      <c r="F8" s="5"/>
    </row>
    <row r="9" spans="3:10" s="1" customFormat="1" ht="25.5" customHeight="1">
      <c r="C9" s="6" t="s">
        <v>9</v>
      </c>
      <c r="E9" s="380"/>
      <c r="F9" s="5"/>
    </row>
    <row r="10" spans="3:10" s="1" customFormat="1" ht="6" customHeight="1">
      <c r="C10" s="2"/>
      <c r="E10" s="25"/>
      <c r="F10" s="5"/>
    </row>
    <row r="11" spans="3:10" s="1" customFormat="1" ht="25.5" customHeight="1">
      <c r="C11" s="6" t="s">
        <v>67</v>
      </c>
      <c r="E11" s="380"/>
      <c r="F11" s="5"/>
      <c r="G11" s="7"/>
    </row>
    <row r="12" spans="3:10" s="1" customFormat="1" ht="6" customHeight="1">
      <c r="C12" s="2"/>
      <c r="E12" s="25"/>
      <c r="F12" s="5"/>
    </row>
    <row r="13" spans="3:10" s="1" customFormat="1" ht="25.5" customHeight="1">
      <c r="C13" s="6" t="s">
        <v>11</v>
      </c>
      <c r="E13" s="380"/>
      <c r="F13" s="5"/>
    </row>
    <row r="14" spans="3:10" s="1" customFormat="1" ht="6" customHeight="1">
      <c r="C14" s="2"/>
      <c r="E14" s="25"/>
      <c r="F14" s="5"/>
    </row>
    <row r="15" spans="3:10" s="1" customFormat="1" ht="25.5" customHeight="1">
      <c r="C15" s="6" t="s">
        <v>69</v>
      </c>
      <c r="E15" s="380"/>
      <c r="F15" s="5"/>
    </row>
    <row r="16" spans="3:10" s="1" customFormat="1" ht="6" customHeight="1">
      <c r="C16" s="2"/>
      <c r="E16" s="25"/>
      <c r="F16" s="5"/>
    </row>
    <row r="17" spans="1:6" s="1" customFormat="1" ht="25.5" customHeight="1">
      <c r="C17" s="6" t="s">
        <v>64</v>
      </c>
      <c r="E17" s="380"/>
      <c r="F17" s="5"/>
    </row>
    <row r="18" spans="1:6" s="1" customFormat="1" ht="6" customHeight="1">
      <c r="C18" s="2"/>
      <c r="E18" s="25"/>
      <c r="F18" s="5"/>
    </row>
    <row r="19" spans="1:6" s="1" customFormat="1" ht="25.5" customHeight="1">
      <c r="C19" s="6" t="s">
        <v>63</v>
      </c>
      <c r="E19" s="380"/>
      <c r="F19" s="22"/>
    </row>
    <row r="20" spans="1:6" s="1" customFormat="1" ht="6" customHeight="1">
      <c r="C20" s="2"/>
      <c r="E20" s="25"/>
      <c r="F20" s="5"/>
    </row>
    <row r="21" spans="1:6" s="1" customFormat="1" ht="25.5" customHeight="1">
      <c r="C21" s="6" t="s">
        <v>12</v>
      </c>
      <c r="E21" s="380"/>
      <c r="F21" s="5"/>
    </row>
    <row r="22" spans="1:6" s="1" customFormat="1" ht="6" customHeight="1">
      <c r="C22" s="2"/>
      <c r="E22" s="25"/>
      <c r="F22" s="5"/>
    </row>
    <row r="23" spans="1:6" s="1" customFormat="1" ht="25.5" customHeight="1">
      <c r="C23" s="6" t="s">
        <v>19</v>
      </c>
      <c r="E23" s="380"/>
      <c r="F23" s="5"/>
    </row>
    <row r="24" spans="1:6" s="1" customFormat="1" ht="6" customHeight="1">
      <c r="C24" s="2"/>
      <c r="E24" s="25"/>
      <c r="F24" s="5"/>
    </row>
    <row r="25" spans="1:6" s="1" customFormat="1" ht="25.5" customHeight="1">
      <c r="C25" s="6" t="s">
        <v>68</v>
      </c>
      <c r="E25" s="380"/>
      <c r="F25" s="5"/>
    </row>
    <row r="26" spans="1:6" s="1" customFormat="1" ht="6" customHeight="1">
      <c r="A26" s="8"/>
      <c r="B26" s="8"/>
      <c r="C26" s="9"/>
      <c r="D26" s="8"/>
      <c r="E26" s="26"/>
      <c r="F26" s="5"/>
    </row>
    <row r="27" spans="1:6" s="1" customFormat="1" ht="25.5" customHeight="1">
      <c r="C27" s="6" t="s">
        <v>21</v>
      </c>
      <c r="E27" s="381"/>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46213</v>
      </c>
      <c r="F30" s="16"/>
    </row>
    <row r="31" spans="1:6" s="1" customFormat="1">
      <c r="C31" s="2"/>
    </row>
    <row r="32" spans="1:6" s="1" customFormat="1">
      <c r="C32" s="2"/>
    </row>
    <row r="33" spans="3:5" s="1" customFormat="1">
      <c r="C33" s="2"/>
    </row>
    <row r="34" spans="3:5" s="1" customFormat="1">
      <c r="C34" s="2"/>
    </row>
    <row r="35" spans="3:5" s="1" customFormat="1">
      <c r="C35" s="2"/>
    </row>
    <row r="36" spans="3:5" s="1" customFormat="1">
      <c r="C36" s="2"/>
    </row>
    <row r="37" spans="3:5" s="1" customFormat="1">
      <c r="C37" s="2"/>
    </row>
    <row r="38" spans="3:5" s="1" customFormat="1">
      <c r="C38" s="2"/>
    </row>
    <row r="39" spans="3:5" s="1" customFormat="1">
      <c r="C39" s="2"/>
    </row>
    <row r="40" spans="3:5" s="1" customFormat="1">
      <c r="C40" s="2"/>
    </row>
    <row r="41" spans="3:5" s="1" customFormat="1">
      <c r="C41" s="2"/>
    </row>
    <row r="42" spans="3:5" s="1" customFormat="1">
      <c r="C42" s="2"/>
      <c r="E42" s="1">
        <f>-E43</f>
        <v>0</v>
      </c>
    </row>
    <row r="43" spans="3:5" s="1" customFormat="1">
      <c r="C43" s="2"/>
      <c r="E43" s="1">
        <f>-E12</f>
        <v>0</v>
      </c>
    </row>
    <row r="44" spans="3:5" s="1" customFormat="1">
      <c r="C44" s="2"/>
    </row>
    <row r="45" spans="3:5" s="1" customFormat="1">
      <c r="C45" s="2"/>
    </row>
    <row r="46" spans="3:5" s="1" customFormat="1">
      <c r="C46" s="2"/>
    </row>
    <row r="47" spans="3:5" s="1" customFormat="1">
      <c r="C47" s="2"/>
    </row>
    <row r="48" spans="3:5" s="1" customFormat="1">
      <c r="C48" s="2"/>
    </row>
    <row r="49" spans="3:3" s="1" customFormat="1">
      <c r="C49" s="2"/>
    </row>
    <row r="50" spans="3:3" s="1" customFormat="1">
      <c r="C50" s="2"/>
    </row>
    <row r="102" spans="3:3" ht="12.5" hidden="1">
      <c r="C102" s="17">
        <v>21357901735</v>
      </c>
    </row>
  </sheetData>
  <sheetProtection selectLockedCells="1"/>
  <dataConsolidate/>
  <customSheetViews>
    <customSheetView guid="{2383B994-5DA1-4BB7-BA01-728624653006}" scale="70" hiddenRows="1" hiddenColumns="1">
      <selection activeCell="G7" sqref="G7"/>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FFA6C093-E866-4B92-9807-8D478A2763D4}" scale="70" hiddenRows="1" hiddenColumns="1" topLeftCell="A4">
      <selection activeCell="E5" sqref="E5"/>
      <pageMargins left="0.75" right="0.75" top="1" bottom="1" header="0.5" footer="0.5"/>
      <pageSetup paperSize="9" orientation="portrait" r:id="rId3"/>
      <headerFooter alignWithMargins="0"/>
    </customSheetView>
  </customSheetViews>
  <phoneticPr fontId="91"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3041650</xdr:colOff>
                    <xdr:row>28</xdr:row>
                    <xdr:rowOff>152400</xdr:rowOff>
                  </from>
                  <to>
                    <xdr:col>5</xdr:col>
                    <xdr:colOff>869950</xdr:colOff>
                    <xdr:row>30</xdr:row>
                    <xdr:rowOff>107950</xdr:rowOff>
                  </to>
                </anchor>
              </controlPr>
            </control>
          </mc:Choice>
        </mc:AlternateContent>
        <mc:AlternateContent xmlns:mc="http://schemas.openxmlformats.org/markup-compatibility/2006">
          <mc:Choice Requires="x14">
            <control shapeId="607236" r:id="rId8" name="Button 4">
              <controlPr defaultSize="0" print="0" autoFill="0" autoPict="0" macro="[0]!OpenCalendar">
                <anchor moveWithCells="1" sizeWithCells="1">
                  <from>
                    <xdr:col>5</xdr:col>
                    <xdr:colOff>31750</xdr:colOff>
                    <xdr:row>26</xdr:row>
                    <xdr:rowOff>31750</xdr:rowOff>
                  </from>
                  <to>
                    <xdr:col>5</xdr:col>
                    <xdr:colOff>908050</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1289050</xdr:colOff>
                    <xdr:row>28</xdr:row>
                    <xdr:rowOff>152400</xdr:rowOff>
                  </from>
                  <to>
                    <xdr:col>4</xdr:col>
                    <xdr:colOff>2965450</xdr:colOff>
                    <xdr:row>30</xdr:row>
                    <xdr:rowOff>107950</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31750</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_AddNextNewRecord.NewOE">
                <anchor moveWithCells="1" sizeWithCells="1">
                  <from>
                    <xdr:col>5</xdr:col>
                    <xdr:colOff>31750</xdr:colOff>
                    <xdr:row>4</xdr:row>
                    <xdr:rowOff>31750</xdr:rowOff>
                  </from>
                  <to>
                    <xdr:col>6</xdr:col>
                    <xdr:colOff>0</xdr:colOff>
                    <xdr:row>5</xdr:row>
                    <xdr:rowOff>31750</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31750</xdr:colOff>
                    <xdr:row>28</xdr:row>
                    <xdr:rowOff>152400</xdr:rowOff>
                  </from>
                  <to>
                    <xdr:col>2</xdr:col>
                    <xdr:colOff>1670050</xdr:colOff>
                    <xdr:row>30</xdr:row>
                    <xdr:rowOff>107950</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1746250</xdr:colOff>
                    <xdr:row>28</xdr:row>
                    <xdr:rowOff>146050</xdr:rowOff>
                  </from>
                  <to>
                    <xdr:col>4</xdr:col>
                    <xdr:colOff>1212850</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53125" defaultRowHeight="23"/>
  <cols>
    <col min="1" max="1" width="7" style="54" hidden="1" customWidth="1"/>
    <col min="2" max="2" width="4.54296875" style="54" customWidth="1"/>
    <col min="3" max="4" width="30.54296875" style="56" customWidth="1"/>
    <col min="5" max="5" width="87.453125" style="43" customWidth="1"/>
    <col min="6" max="6" width="4.54296875" style="43" customWidth="1"/>
    <col min="7" max="16384" width="9.453125" style="43"/>
  </cols>
  <sheetData>
    <row r="1" spans="1:9" ht="45.5">
      <c r="A1" s="35"/>
      <c r="B1" s="46"/>
      <c r="C1" s="80" t="s">
        <v>101</v>
      </c>
      <c r="D1" s="77"/>
      <c r="E1" s="78"/>
      <c r="F1" s="40"/>
      <c r="I1" s="44"/>
    </row>
    <row r="2" spans="1:9" ht="6" customHeight="1">
      <c r="A2" s="45"/>
      <c r="B2" s="46"/>
      <c r="C2" s="81"/>
      <c r="D2" s="82"/>
      <c r="E2" s="83"/>
      <c r="F2" s="40"/>
      <c r="I2" s="44"/>
    </row>
    <row r="3" spans="1:9" ht="23.5" thickBot="1">
      <c r="A3" s="50"/>
      <c r="B3" s="76" t="s">
        <v>94</v>
      </c>
      <c r="C3" s="84" t="s">
        <v>58</v>
      </c>
      <c r="D3" s="85" t="s">
        <v>57</v>
      </c>
      <c r="E3" s="79"/>
      <c r="F3" s="40"/>
    </row>
    <row r="4" spans="1:9" ht="6" customHeight="1">
      <c r="B4" s="55"/>
      <c r="F4" s="40"/>
    </row>
    <row r="5" spans="1:9" ht="32.5">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3.5" hidden="1">
      <c r="A27" s="70">
        <v>21</v>
      </c>
      <c r="B27" s="70"/>
      <c r="C27" s="71"/>
      <c r="D27" s="71"/>
      <c r="E27" s="71"/>
      <c r="F27" s="71"/>
      <c r="U27" s="72" t="str">
        <f t="shared" si="0"/>
        <v/>
      </c>
      <c r="V27" s="71"/>
      <c r="W27" s="71"/>
      <c r="X27" s="71"/>
      <c r="Y27" s="71"/>
    </row>
    <row r="28" spans="1:25" ht="13.5" hidden="1">
      <c r="A28" s="70">
        <v>21</v>
      </c>
      <c r="B28" s="70"/>
      <c r="C28" s="71"/>
      <c r="D28" s="71"/>
      <c r="E28" s="71"/>
      <c r="F28" s="71"/>
      <c r="U28" s="72" t="str">
        <f t="shared" si="0"/>
        <v/>
      </c>
      <c r="V28" s="71"/>
      <c r="W28" s="71"/>
      <c r="X28" s="71"/>
      <c r="Y28" s="71"/>
    </row>
    <row r="29" spans="1:25" ht="13.5" hidden="1">
      <c r="A29" s="70">
        <v>21</v>
      </c>
      <c r="B29" s="70"/>
      <c r="C29" s="71"/>
      <c r="D29" s="71"/>
      <c r="E29" s="71"/>
      <c r="F29" s="71"/>
      <c r="U29" s="72" t="str">
        <f t="shared" si="0"/>
        <v/>
      </c>
      <c r="V29" s="71"/>
      <c r="W29" s="71"/>
      <c r="X29" s="71"/>
      <c r="Y29" s="71"/>
    </row>
    <row r="30" spans="1:25" ht="13.5" hidden="1">
      <c r="A30" s="70">
        <v>21</v>
      </c>
      <c r="B30" s="70"/>
      <c r="C30" s="71"/>
      <c r="D30" s="71"/>
      <c r="E30" s="71"/>
      <c r="F30" s="71"/>
      <c r="U30" s="72" t="str">
        <f t="shared" si="0"/>
        <v/>
      </c>
      <c r="V30" s="71"/>
      <c r="W30" s="71"/>
      <c r="X30" s="71"/>
      <c r="Y30" s="71"/>
    </row>
    <row r="31" spans="1:25" ht="13.5" hidden="1">
      <c r="A31" s="70">
        <v>21</v>
      </c>
      <c r="B31" s="70"/>
      <c r="C31" s="71"/>
      <c r="D31" s="71"/>
      <c r="E31" s="71"/>
      <c r="F31" s="71"/>
      <c r="U31" s="72" t="str">
        <f t="shared" si="0"/>
        <v/>
      </c>
      <c r="V31" s="71"/>
      <c r="W31" s="71"/>
      <c r="X31" s="71"/>
      <c r="Y31" s="71"/>
    </row>
    <row r="32" spans="1:25" ht="13.5" hidden="1">
      <c r="A32" s="70">
        <v>26</v>
      </c>
      <c r="B32" s="70"/>
      <c r="C32" s="71"/>
      <c r="D32" s="71"/>
      <c r="E32" s="71"/>
      <c r="F32" s="71"/>
      <c r="U32" s="72" t="str">
        <f t="shared" si="0"/>
        <v/>
      </c>
      <c r="V32" s="71"/>
      <c r="W32" s="71"/>
      <c r="X32" s="71"/>
      <c r="Y32" s="71"/>
    </row>
    <row r="33" spans="1:25" ht="13.5" hidden="1">
      <c r="A33" s="70">
        <v>-5</v>
      </c>
      <c r="B33" s="70"/>
      <c r="C33" s="71"/>
      <c r="D33" s="71"/>
      <c r="E33" s="71"/>
      <c r="F33" s="71"/>
      <c r="U33" s="72" t="str">
        <f t="shared" si="0"/>
        <v/>
      </c>
      <c r="V33" s="71"/>
      <c r="W33" s="71"/>
      <c r="X33" s="71"/>
      <c r="Y33" s="71"/>
    </row>
    <row r="34" spans="1:25" ht="13.5" hidden="1">
      <c r="A34" s="70">
        <v>18</v>
      </c>
      <c r="B34" s="70"/>
      <c r="C34" s="71"/>
      <c r="D34" s="71"/>
      <c r="E34" s="71"/>
      <c r="F34" s="71"/>
      <c r="U34" s="72" t="str">
        <f t="shared" si="0"/>
        <v/>
      </c>
      <c r="V34" s="71"/>
      <c r="W34" s="71"/>
      <c r="X34" s="71"/>
      <c r="Y34" s="71"/>
    </row>
    <row r="35" spans="1:25" ht="13.5" hidden="1">
      <c r="A35" s="70">
        <v>-3</v>
      </c>
      <c r="B35" s="70"/>
      <c r="C35" s="71"/>
      <c r="D35" s="71"/>
      <c r="E35" s="71"/>
      <c r="F35" s="71"/>
      <c r="U35" s="72" t="str">
        <f t="shared" si="0"/>
        <v/>
      </c>
      <c r="V35" s="71"/>
      <c r="W35" s="71"/>
      <c r="X35" s="71"/>
      <c r="Y35" s="71"/>
    </row>
    <row r="36" spans="1:25" ht="13.5" hidden="1">
      <c r="A36" s="70">
        <v>-18</v>
      </c>
      <c r="B36" s="70"/>
      <c r="C36" s="71"/>
      <c r="D36" s="71"/>
      <c r="E36" s="71"/>
      <c r="F36" s="71"/>
      <c r="U36" s="72" t="str">
        <f t="shared" si="0"/>
        <v/>
      </c>
      <c r="V36" s="71"/>
      <c r="W36" s="71"/>
      <c r="X36" s="71"/>
      <c r="Y36" s="71"/>
    </row>
    <row r="37" spans="1:25" ht="13.5" hidden="1">
      <c r="A37" s="70">
        <v>11</v>
      </c>
      <c r="B37" s="70"/>
      <c r="C37" s="71"/>
      <c r="D37" s="71"/>
      <c r="E37" s="71"/>
      <c r="F37" s="71"/>
      <c r="U37" s="72" t="str">
        <f t="shared" si="0"/>
        <v/>
      </c>
      <c r="V37" s="71"/>
      <c r="W37" s="71"/>
      <c r="X37" s="71"/>
      <c r="Y37" s="71"/>
    </row>
    <row r="38" spans="1:25" ht="13.5" hidden="1">
      <c r="A38" s="70">
        <v>-25</v>
      </c>
      <c r="B38" s="70"/>
      <c r="C38" s="71"/>
      <c r="D38" s="71"/>
      <c r="E38" s="71"/>
      <c r="F38" s="71"/>
      <c r="U38" s="72" t="str">
        <f t="shared" si="0"/>
        <v/>
      </c>
      <c r="V38" s="71"/>
      <c r="W38" s="71"/>
      <c r="X38" s="71"/>
      <c r="Y38" s="71"/>
    </row>
    <row r="39" spans="1:25" ht="13.5" hidden="1">
      <c r="A39" s="70">
        <v>21</v>
      </c>
      <c r="B39" s="70"/>
      <c r="C39" s="71"/>
      <c r="D39" s="71"/>
      <c r="E39" s="71"/>
      <c r="F39" s="71"/>
      <c r="U39" s="72" t="str">
        <f t="shared" si="0"/>
        <v/>
      </c>
      <c r="V39" s="71"/>
      <c r="W39" s="71"/>
      <c r="X39" s="71"/>
      <c r="Y39" s="71"/>
    </row>
    <row r="40" spans="1:25" ht="13.5" hidden="1">
      <c r="A40" s="70">
        <v>3</v>
      </c>
      <c r="B40" s="70"/>
      <c r="C40" s="71"/>
      <c r="D40" s="71"/>
      <c r="E40" s="71"/>
      <c r="F40" s="71"/>
      <c r="U40" s="72" t="str">
        <f t="shared" si="0"/>
        <v/>
      </c>
      <c r="V40" s="71"/>
      <c r="W40" s="71"/>
      <c r="X40" s="71"/>
      <c r="Y40" s="71"/>
    </row>
    <row r="41" spans="1:25" ht="13.5" hidden="1">
      <c r="A41" s="70">
        <v>34</v>
      </c>
      <c r="B41" s="70"/>
      <c r="C41" s="71"/>
      <c r="D41" s="71"/>
      <c r="E41" s="71"/>
      <c r="F41" s="71"/>
      <c r="U41" s="72" t="str">
        <f t="shared" si="0"/>
        <v/>
      </c>
      <c r="V41" s="71"/>
      <c r="W41" s="71"/>
      <c r="X41" s="71"/>
      <c r="Y41" s="71"/>
    </row>
    <row r="42" spans="1:25" ht="13.5" hidden="1">
      <c r="A42" s="70">
        <v>10</v>
      </c>
      <c r="B42" s="70"/>
      <c r="C42" s="71"/>
      <c r="D42" s="71"/>
      <c r="E42" s="71"/>
      <c r="F42" s="71"/>
      <c r="U42" s="72" t="str">
        <f t="shared" si="0"/>
        <v/>
      </c>
      <c r="V42" s="71"/>
      <c r="W42" s="71"/>
      <c r="X42" s="71"/>
      <c r="Y42" s="71"/>
    </row>
    <row r="43" spans="1:25" ht="13.5" hidden="1">
      <c r="A43" s="70">
        <v>-20</v>
      </c>
      <c r="B43" s="70"/>
      <c r="C43" s="71"/>
      <c r="D43" s="71"/>
      <c r="E43" s="71"/>
      <c r="F43" s="71"/>
      <c r="U43" s="72" t="str">
        <f t="shared" si="0"/>
        <v/>
      </c>
      <c r="V43" s="71"/>
      <c r="W43" s="71"/>
      <c r="X43" s="71"/>
      <c r="Y43" s="71"/>
    </row>
    <row r="44" spans="1:25" ht="13.5" hidden="1">
      <c r="A44" s="70">
        <v>5</v>
      </c>
      <c r="B44" s="70"/>
      <c r="C44" s="71"/>
      <c r="D44" s="71"/>
      <c r="E44" s="71"/>
      <c r="F44" s="71"/>
      <c r="U44" s="72" t="str">
        <f t="shared" si="0"/>
        <v/>
      </c>
      <c r="V44" s="71"/>
      <c r="W44" s="71"/>
      <c r="X44" s="71"/>
      <c r="Y44" s="71"/>
    </row>
    <row r="45" spans="1:25" ht="13.5" hidden="1">
      <c r="A45" s="70">
        <v>0</v>
      </c>
      <c r="B45" s="70"/>
      <c r="C45" s="71"/>
      <c r="D45" s="71"/>
      <c r="E45" s="71"/>
      <c r="F45" s="71"/>
      <c r="U45" s="72" t="str">
        <f t="shared" si="0"/>
        <v/>
      </c>
      <c r="V45" s="71"/>
      <c r="W45" s="71"/>
      <c r="X45" s="71"/>
      <c r="Y45" s="71"/>
    </row>
    <row r="46" spans="1:25" ht="13.5" hidden="1">
      <c r="A46" s="70">
        <v>-20</v>
      </c>
      <c r="B46" s="70"/>
      <c r="C46" s="71"/>
      <c r="D46" s="71"/>
      <c r="E46" s="71"/>
      <c r="F46" s="71"/>
      <c r="U46" s="72" t="str">
        <f t="shared" si="0"/>
        <v/>
      </c>
      <c r="V46" s="71"/>
      <c r="W46" s="71"/>
      <c r="X46" s="71"/>
      <c r="Y46" s="71"/>
    </row>
    <row r="47" spans="1:25" ht="13.5" hidden="1">
      <c r="A47" s="70">
        <v>14</v>
      </c>
      <c r="B47" s="70"/>
      <c r="C47" s="71"/>
      <c r="D47" s="71"/>
      <c r="E47" s="71"/>
      <c r="F47" s="71"/>
      <c r="U47" s="72" t="str">
        <f t="shared" si="0"/>
        <v/>
      </c>
      <c r="V47" s="71"/>
      <c r="W47" s="71"/>
      <c r="X47" s="71"/>
      <c r="Y47" s="71"/>
    </row>
    <row r="48" spans="1:25" ht="13.5" hidden="1">
      <c r="A48" s="70">
        <v>49</v>
      </c>
      <c r="B48" s="70"/>
      <c r="C48" s="71"/>
      <c r="D48" s="71"/>
      <c r="E48" s="71"/>
      <c r="F48" s="71"/>
      <c r="U48" s="72" t="str">
        <f t="shared" si="0"/>
        <v/>
      </c>
      <c r="V48" s="71"/>
      <c r="W48" s="71"/>
      <c r="X48" s="71"/>
      <c r="Y48" s="71"/>
    </row>
    <row r="49" spans="1:25" ht="13.5" hidden="1">
      <c r="A49" s="70">
        <v>37</v>
      </c>
      <c r="B49" s="70"/>
      <c r="C49" s="71"/>
      <c r="D49" s="71"/>
      <c r="E49" s="71"/>
      <c r="F49" s="71"/>
      <c r="U49" s="72" t="str">
        <f t="shared" si="0"/>
        <v/>
      </c>
      <c r="V49" s="71"/>
      <c r="W49" s="71"/>
      <c r="X49" s="71"/>
      <c r="Y49" s="71"/>
    </row>
    <row r="50" spans="1:25" ht="13.5" hidden="1">
      <c r="A50" s="70">
        <v>-14</v>
      </c>
      <c r="B50" s="70"/>
      <c r="C50" s="71"/>
      <c r="D50" s="71"/>
      <c r="E50" s="71"/>
      <c r="F50" s="71"/>
      <c r="U50" s="72" t="str">
        <f t="shared" si="0"/>
        <v/>
      </c>
      <c r="V50" s="71"/>
      <c r="W50" s="71"/>
      <c r="X50" s="71"/>
      <c r="Y50" s="71"/>
    </row>
    <row r="51" spans="1:25" ht="13.5" hidden="1">
      <c r="A51" s="70">
        <v>24</v>
      </c>
      <c r="B51" s="70"/>
      <c r="C51" s="71"/>
      <c r="D51" s="71"/>
      <c r="E51" s="71"/>
      <c r="F51" s="71"/>
      <c r="U51" s="72" t="str">
        <f t="shared" si="0"/>
        <v/>
      </c>
      <c r="V51" s="71"/>
      <c r="W51" s="71"/>
      <c r="X51" s="71"/>
      <c r="Y51" s="71"/>
    </row>
    <row r="52" spans="1:25" ht="13.5" hidden="1">
      <c r="A52" s="70">
        <v>-18</v>
      </c>
      <c r="B52" s="70"/>
      <c r="C52" s="71"/>
      <c r="D52" s="71"/>
      <c r="E52" s="71"/>
      <c r="F52" s="71"/>
      <c r="U52" s="72" t="str">
        <f t="shared" si="0"/>
        <v/>
      </c>
      <c r="V52" s="71"/>
      <c r="W52" s="71"/>
      <c r="X52" s="71"/>
      <c r="Y52" s="71"/>
    </row>
    <row r="53" spans="1:25" ht="13.5" hidden="1">
      <c r="A53" s="70">
        <v>3</v>
      </c>
      <c r="B53" s="70"/>
      <c r="C53" s="71"/>
      <c r="D53" s="71"/>
      <c r="E53" s="71"/>
      <c r="F53" s="71"/>
      <c r="U53" s="72" t="str">
        <f t="shared" si="0"/>
        <v/>
      </c>
      <c r="V53" s="71"/>
      <c r="W53" s="71"/>
      <c r="X53" s="71"/>
      <c r="Y53" s="71"/>
    </row>
    <row r="54" spans="1:25" ht="13.5" hidden="1">
      <c r="A54" s="70">
        <v>3</v>
      </c>
      <c r="B54" s="70"/>
      <c r="C54" s="71"/>
      <c r="D54" s="71"/>
      <c r="E54" s="71"/>
      <c r="F54" s="71"/>
      <c r="U54" s="72" t="str">
        <f t="shared" si="0"/>
        <v/>
      </c>
      <c r="V54" s="71"/>
      <c r="W54" s="71"/>
      <c r="X54" s="71"/>
      <c r="Y54" s="71"/>
    </row>
    <row r="55" spans="1:25" ht="13.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91"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717550</xdr:colOff>
                    <xdr:row>16</xdr:row>
                    <xdr:rowOff>260350</xdr:rowOff>
                  </from>
                  <to>
                    <xdr:col>3</xdr:col>
                    <xdr:colOff>1174750</xdr:colOff>
                    <xdr:row>20</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53125" defaultRowHeight="23"/>
  <cols>
    <col min="1" max="1" width="7" style="54" hidden="1" customWidth="1"/>
    <col min="2" max="2" width="4.54296875" style="54" customWidth="1"/>
    <col min="3" max="4" width="30.54296875" style="56" customWidth="1"/>
    <col min="5" max="5" width="180.54296875" style="43" customWidth="1"/>
    <col min="6" max="6" width="4.54296875" style="43" customWidth="1"/>
    <col min="7" max="7" width="40.54296875" style="41" customWidth="1"/>
    <col min="8" max="10" width="15" style="42" customWidth="1"/>
    <col min="11" max="11" width="30.453125" style="43" customWidth="1"/>
    <col min="12" max="16384" width="9.453125" style="43"/>
  </cols>
  <sheetData>
    <row r="1" spans="1:14" ht="45.5">
      <c r="A1" s="35"/>
      <c r="B1" s="36"/>
      <c r="C1" s="37"/>
      <c r="D1" s="38" t="s">
        <v>93</v>
      </c>
      <c r="E1" s="39"/>
      <c r="F1" s="40"/>
      <c r="N1" s="44"/>
    </row>
    <row r="2" spans="1:14" ht="6" customHeight="1">
      <c r="A2" s="45"/>
      <c r="B2" s="46"/>
      <c r="C2" s="47"/>
      <c r="D2" s="48"/>
      <c r="E2" s="49"/>
      <c r="F2" s="40"/>
      <c r="N2" s="44"/>
    </row>
    <row r="3" spans="1:14" ht="23.5"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91"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488950</xdr:colOff>
                    <xdr:row>16</xdr:row>
                    <xdr:rowOff>31750</xdr:rowOff>
                  </from>
                  <to>
                    <xdr:col>3</xdr:col>
                    <xdr:colOff>946150</xdr:colOff>
                    <xdr:row>19</xdr:row>
                    <xdr:rowOff>336550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6"/>
  <sheetViews>
    <sheetView zoomScale="85" zoomScaleNormal="85" workbookViewId="0">
      <selection activeCell="J66" sqref="J66"/>
    </sheetView>
  </sheetViews>
  <sheetFormatPr defaultColWidth="9.453125" defaultRowHeight="15"/>
  <cols>
    <col min="1" max="1" width="18.453125" style="86" customWidth="1"/>
    <col min="2" max="2" width="9.453125" style="21" customWidth="1"/>
    <col min="3" max="3" width="21.54296875" style="21" customWidth="1"/>
    <col min="4" max="6" width="9.453125" style="21" customWidth="1"/>
    <col min="7" max="7" width="26.453125" style="21" customWidth="1"/>
    <col min="8" max="8" width="9.453125" style="21" customWidth="1"/>
    <col min="9" max="9" width="3.54296875" style="21" customWidth="1"/>
    <col min="10" max="10" width="27" style="21" customWidth="1"/>
    <col min="11" max="11" width="44.453125" style="21" customWidth="1"/>
    <col min="12" max="12" width="23" style="21" customWidth="1"/>
    <col min="13" max="13" width="9.453125" style="21" customWidth="1"/>
    <col min="14" max="14" width="81.54296875" style="21" customWidth="1"/>
    <col min="15" max="16384" width="9.453125" style="21"/>
  </cols>
  <sheetData>
    <row r="1" spans="1:14" ht="15.5">
      <c r="A1" s="86" t="s">
        <v>42</v>
      </c>
      <c r="B1" s="21">
        <v>1</v>
      </c>
      <c r="C1" s="21" t="s">
        <v>77</v>
      </c>
      <c r="D1" s="187" t="s">
        <v>31</v>
      </c>
      <c r="E1" s="21">
        <f>MATCH(D1,A1:A81)</f>
        <v>14</v>
      </c>
      <c r="F1" s="21" t="str">
        <f>VLOOKUP(E1,B1:C81,2)</f>
        <v>Husky</v>
      </c>
      <c r="G1" s="21" t="s">
        <v>78</v>
      </c>
      <c r="H1" s="21" t="str">
        <f>F1</f>
        <v>Husky</v>
      </c>
      <c r="I1" s="21" t="s">
        <v>79</v>
      </c>
      <c r="J1" s="232">
        <v>3077540</v>
      </c>
      <c r="K1" s="21" t="str">
        <f>CONCATENATE(G1,H1,I1,J1)</f>
        <v>m:\manufacturing process\Husky\3077540</v>
      </c>
      <c r="L1" s="34" t="s">
        <v>80</v>
      </c>
      <c r="M1" s="87" t="s">
        <v>113</v>
      </c>
      <c r="N1" s="21" t="s">
        <v>114</v>
      </c>
    </row>
    <row r="2" spans="1:14">
      <c r="A2" s="86" t="s">
        <v>218</v>
      </c>
      <c r="B2" s="21">
        <v>2</v>
      </c>
      <c r="C2" s="21" t="s">
        <v>218</v>
      </c>
      <c r="K2" s="21" t="str">
        <f>CONCATENATE(G1,H1)</f>
        <v>m:\manufacturing process\Husky</v>
      </c>
      <c r="L2" s="34" t="s">
        <v>82</v>
      </c>
      <c r="N2" s="21" t="s">
        <v>115</v>
      </c>
    </row>
    <row r="3" spans="1:14">
      <c r="A3" s="86" t="s">
        <v>188</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189</v>
      </c>
      <c r="B6" s="21">
        <v>6</v>
      </c>
      <c r="C6" s="21" t="s">
        <v>190</v>
      </c>
    </row>
    <row r="7" spans="1:14">
      <c r="A7" s="86" t="s">
        <v>219</v>
      </c>
      <c r="B7" s="21">
        <v>7</v>
      </c>
      <c r="C7" s="21" t="s">
        <v>219</v>
      </c>
    </row>
    <row r="8" spans="1:14">
      <c r="A8" s="86" t="s">
        <v>213</v>
      </c>
      <c r="B8" s="21">
        <v>8</v>
      </c>
      <c r="C8" s="21" t="s">
        <v>81</v>
      </c>
    </row>
    <row r="9" spans="1:14">
      <c r="A9" s="86" t="s">
        <v>191</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192</v>
      </c>
      <c r="B16" s="21">
        <v>16</v>
      </c>
      <c r="C16" s="154" t="s">
        <v>193</v>
      </c>
    </row>
    <row r="17" spans="1:3">
      <c r="A17" s="86" t="s">
        <v>186</v>
      </c>
      <c r="B17" s="21">
        <v>17</v>
      </c>
      <c r="C17" s="154" t="s">
        <v>186</v>
      </c>
    </row>
    <row r="18" spans="1:3">
      <c r="A18" s="86" t="s">
        <v>194</v>
      </c>
      <c r="B18" s="21">
        <v>18</v>
      </c>
      <c r="C18" s="154" t="s">
        <v>194</v>
      </c>
    </row>
    <row r="19" spans="1:3">
      <c r="A19" s="20" t="s">
        <v>41</v>
      </c>
      <c r="B19" s="21">
        <v>19</v>
      </c>
      <c r="C19" s="21" t="s">
        <v>50</v>
      </c>
    </row>
    <row r="20" spans="1:3">
      <c r="A20" s="20" t="s">
        <v>169</v>
      </c>
      <c r="B20" s="21">
        <v>20</v>
      </c>
      <c r="C20" s="21" t="s">
        <v>169</v>
      </c>
    </row>
    <row r="21" spans="1:3">
      <c r="A21" s="20" t="s">
        <v>221</v>
      </c>
      <c r="B21" s="21">
        <v>21</v>
      </c>
      <c r="C21" s="21" t="s">
        <v>221</v>
      </c>
    </row>
    <row r="22" spans="1:3">
      <c r="A22" s="20" t="s">
        <v>26</v>
      </c>
      <c r="B22" s="21">
        <v>22</v>
      </c>
      <c r="C22" s="21" t="s">
        <v>85</v>
      </c>
    </row>
    <row r="23" spans="1:3">
      <c r="A23" s="20" t="s">
        <v>217</v>
      </c>
      <c r="B23" s="21">
        <v>23</v>
      </c>
      <c r="C23" s="21" t="s">
        <v>217</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214</v>
      </c>
      <c r="B31" s="21">
        <v>31</v>
      </c>
      <c r="C31" s="21" t="s">
        <v>214</v>
      </c>
    </row>
    <row r="32" spans="1:3">
      <c r="A32" s="86" t="s">
        <v>170</v>
      </c>
      <c r="B32" s="21">
        <v>32</v>
      </c>
      <c r="C32" s="21" t="s">
        <v>170</v>
      </c>
    </row>
    <row r="33" spans="1:3">
      <c r="A33" s="20" t="s">
        <v>46</v>
      </c>
      <c r="B33" s="21">
        <v>33</v>
      </c>
      <c r="C33" s="21" t="s">
        <v>88</v>
      </c>
    </row>
    <row r="34" spans="1:3">
      <c r="A34" s="20" t="s">
        <v>220</v>
      </c>
      <c r="B34" s="21">
        <v>34</v>
      </c>
      <c r="C34" s="21" t="s">
        <v>220</v>
      </c>
    </row>
    <row r="35" spans="1:3" ht="15.5">
      <c r="A35" s="20" t="s">
        <v>854</v>
      </c>
      <c r="B35" s="21">
        <v>35</v>
      </c>
      <c r="C35" s="399" t="s">
        <v>854</v>
      </c>
    </row>
    <row r="36" spans="1:3">
      <c r="A36" s="20" t="s">
        <v>15</v>
      </c>
      <c r="B36" s="21">
        <v>36</v>
      </c>
      <c r="C36" s="21" t="s">
        <v>15</v>
      </c>
    </row>
    <row r="37" spans="1:3">
      <c r="A37" s="86" t="s">
        <v>107</v>
      </c>
      <c r="B37" s="21">
        <v>37</v>
      </c>
      <c r="C37" s="21" t="s">
        <v>15</v>
      </c>
    </row>
    <row r="38" spans="1:3">
      <c r="A38" s="86" t="s">
        <v>215</v>
      </c>
      <c r="B38" s="21">
        <v>38</v>
      </c>
      <c r="C38" s="21" t="s">
        <v>215</v>
      </c>
    </row>
    <row r="39" spans="1:3">
      <c r="A39" s="20" t="s">
        <v>47</v>
      </c>
      <c r="B39" s="21">
        <v>39</v>
      </c>
      <c r="C39" s="21" t="s">
        <v>39</v>
      </c>
    </row>
    <row r="40" spans="1:3">
      <c r="A40" s="20" t="s">
        <v>23</v>
      </c>
      <c r="B40" s="21">
        <v>40</v>
      </c>
      <c r="C40" s="21" t="s">
        <v>89</v>
      </c>
    </row>
    <row r="41" spans="1:3">
      <c r="A41" s="20" t="s">
        <v>28</v>
      </c>
      <c r="B41" s="21">
        <v>41</v>
      </c>
      <c r="C41" s="21" t="s">
        <v>28</v>
      </c>
    </row>
    <row r="42" spans="1:3">
      <c r="A42" s="20" t="s">
        <v>5</v>
      </c>
      <c r="B42" s="21">
        <v>42</v>
      </c>
      <c r="C42" s="21" t="s">
        <v>5</v>
      </c>
    </row>
    <row r="43" spans="1:3">
      <c r="A43" s="20" t="s">
        <v>225</v>
      </c>
      <c r="B43" s="21">
        <v>43</v>
      </c>
      <c r="C43" s="21" t="s">
        <v>225</v>
      </c>
    </row>
    <row r="44" spans="1:3">
      <c r="A44" s="20" t="s">
        <v>4</v>
      </c>
      <c r="B44" s="21">
        <v>44</v>
      </c>
      <c r="C44" s="21" t="s">
        <v>90</v>
      </c>
    </row>
    <row r="45" spans="1:3">
      <c r="A45" s="20" t="s">
        <v>37</v>
      </c>
      <c r="B45" s="21">
        <v>45</v>
      </c>
      <c r="C45" s="21" t="s">
        <v>83</v>
      </c>
    </row>
    <row r="46" spans="1:3">
      <c r="A46" s="20" t="s">
        <v>236</v>
      </c>
      <c r="B46" s="21">
        <v>46</v>
      </c>
      <c r="C46" s="21" t="s">
        <v>236</v>
      </c>
    </row>
    <row r="47" spans="1:3">
      <c r="A47" s="86" t="s">
        <v>196</v>
      </c>
      <c r="B47" s="21">
        <v>47</v>
      </c>
      <c r="C47" s="21" t="s">
        <v>196</v>
      </c>
    </row>
    <row r="48" spans="1:3">
      <c r="A48" s="20" t="s">
        <v>36</v>
      </c>
      <c r="B48" s="21">
        <v>48</v>
      </c>
      <c r="C48" s="21" t="s">
        <v>15</v>
      </c>
    </row>
    <row r="49" spans="1:3">
      <c r="A49" s="20" t="s">
        <v>62</v>
      </c>
      <c r="B49" s="21">
        <v>49</v>
      </c>
      <c r="C49" s="21" t="s">
        <v>61</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197</v>
      </c>
      <c r="B54" s="21">
        <v>54</v>
      </c>
      <c r="C54" s="21" t="s">
        <v>197</v>
      </c>
    </row>
    <row r="55" spans="1:3">
      <c r="A55" s="86" t="s">
        <v>106</v>
      </c>
      <c r="B55" s="21">
        <v>55</v>
      </c>
      <c r="C55" s="21" t="s">
        <v>106</v>
      </c>
    </row>
    <row r="56" spans="1:3">
      <c r="A56" s="20" t="s">
        <v>48</v>
      </c>
      <c r="B56" s="21">
        <v>56</v>
      </c>
      <c r="C56" s="21" t="s">
        <v>48</v>
      </c>
    </row>
    <row r="57" spans="1:3">
      <c r="A57" s="20" t="s">
        <v>44</v>
      </c>
      <c r="B57" s="21">
        <v>57</v>
      </c>
      <c r="C57" s="21" t="s">
        <v>44</v>
      </c>
    </row>
    <row r="58" spans="1:3">
      <c r="A58" s="20" t="s">
        <v>3</v>
      </c>
      <c r="B58" s="21">
        <v>58</v>
      </c>
      <c r="C58" s="21" t="s">
        <v>3</v>
      </c>
    </row>
    <row r="59" spans="1:3">
      <c r="A59" s="20" t="s">
        <v>198</v>
      </c>
      <c r="B59" s="21">
        <v>59</v>
      </c>
      <c r="C59" s="21" t="s">
        <v>199</v>
      </c>
    </row>
    <row r="60" spans="1:3">
      <c r="A60" s="86" t="s">
        <v>52</v>
      </c>
      <c r="B60" s="21">
        <v>60</v>
      </c>
      <c r="C60" s="21" t="s">
        <v>52</v>
      </c>
    </row>
    <row r="61" spans="1:3">
      <c r="A61" s="20" t="s">
        <v>125</v>
      </c>
      <c r="B61" s="21">
        <v>61</v>
      </c>
      <c r="C61" s="21" t="s">
        <v>125</v>
      </c>
    </row>
    <row r="62" spans="1:3">
      <c r="A62" s="86" t="s">
        <v>168</v>
      </c>
      <c r="B62" s="21">
        <v>62</v>
      </c>
      <c r="C62" s="21" t="s">
        <v>168</v>
      </c>
    </row>
    <row r="63" spans="1:3">
      <c r="A63" s="86" t="s">
        <v>200</v>
      </c>
      <c r="B63" s="21">
        <v>63</v>
      </c>
      <c r="C63" s="21" t="s">
        <v>164</v>
      </c>
    </row>
    <row r="64" spans="1:3">
      <c r="A64" s="20" t="s">
        <v>16</v>
      </c>
      <c r="B64" s="21">
        <v>64</v>
      </c>
      <c r="C64" s="21" t="s">
        <v>15</v>
      </c>
    </row>
    <row r="65" spans="1:3">
      <c r="A65" s="20" t="s">
        <v>201</v>
      </c>
      <c r="B65" s="21">
        <v>65</v>
      </c>
      <c r="C65" s="21" t="s">
        <v>201</v>
      </c>
    </row>
    <row r="66" spans="1:3">
      <c r="A66" s="86" t="s">
        <v>104</v>
      </c>
      <c r="B66" s="21">
        <v>66</v>
      </c>
      <c r="C66" s="21" t="s">
        <v>112</v>
      </c>
    </row>
    <row r="67" spans="1:3">
      <c r="A67" s="86" t="s">
        <v>540</v>
      </c>
      <c r="B67" s="21">
        <v>67</v>
      </c>
      <c r="C67" s="21" t="s">
        <v>540</v>
      </c>
    </row>
    <row r="68" spans="1:3">
      <c r="A68" s="86" t="s">
        <v>340</v>
      </c>
      <c r="B68" s="21">
        <v>68</v>
      </c>
      <c r="C68" s="21" t="s">
        <v>340</v>
      </c>
    </row>
    <row r="69" spans="1:3">
      <c r="A69" s="86" t="s">
        <v>202</v>
      </c>
      <c r="B69" s="21">
        <v>69</v>
      </c>
      <c r="C69" s="21" t="s">
        <v>181</v>
      </c>
    </row>
    <row r="70" spans="1:3">
      <c r="A70" s="86" t="s">
        <v>203</v>
      </c>
      <c r="B70" s="21">
        <v>70</v>
      </c>
      <c r="C70" s="21" t="s">
        <v>204</v>
      </c>
    </row>
    <row r="71" spans="1:3">
      <c r="A71" s="20" t="s">
        <v>1</v>
      </c>
      <c r="B71" s="21">
        <v>71</v>
      </c>
      <c r="C71" s="21" t="s">
        <v>1</v>
      </c>
    </row>
    <row r="72" spans="1:3">
      <c r="A72" s="86" t="s">
        <v>103</v>
      </c>
      <c r="B72" s="21">
        <v>72</v>
      </c>
      <c r="C72" s="21" t="s">
        <v>103</v>
      </c>
    </row>
    <row r="73" spans="1:3">
      <c r="A73" s="86" t="s">
        <v>123</v>
      </c>
      <c r="B73" s="21">
        <v>73</v>
      </c>
      <c r="C73" s="21" t="s">
        <v>123</v>
      </c>
    </row>
    <row r="74" spans="1:3">
      <c r="A74" s="86" t="s">
        <v>205</v>
      </c>
      <c r="B74" s="21">
        <v>74</v>
      </c>
      <c r="C74" s="21" t="s">
        <v>205</v>
      </c>
    </row>
    <row r="75" spans="1:3">
      <c r="A75" s="86" t="s">
        <v>122</v>
      </c>
      <c r="B75" s="21">
        <v>75</v>
      </c>
      <c r="C75" s="21" t="s">
        <v>122</v>
      </c>
    </row>
    <row r="76" spans="1:3">
      <c r="A76" s="20" t="s">
        <v>27</v>
      </c>
      <c r="B76" s="21">
        <v>76</v>
      </c>
      <c r="C76" s="21" t="s">
        <v>27</v>
      </c>
    </row>
    <row r="77" spans="1:3">
      <c r="A77" s="86" t="s">
        <v>208</v>
      </c>
      <c r="B77" s="21">
        <v>77</v>
      </c>
      <c r="C77" s="21" t="s">
        <v>209</v>
      </c>
    </row>
    <row r="78" spans="1:3">
      <c r="A78" s="86" t="s">
        <v>216</v>
      </c>
      <c r="B78" s="21">
        <v>78</v>
      </c>
      <c r="C78" s="21" t="s">
        <v>216</v>
      </c>
    </row>
    <row r="79" spans="1:3">
      <c r="A79" s="86" t="s">
        <v>29</v>
      </c>
      <c r="B79" s="21">
        <v>79</v>
      </c>
      <c r="C79" s="21" t="s">
        <v>83</v>
      </c>
    </row>
    <row r="80" spans="1:3">
      <c r="A80" s="20" t="s">
        <v>33</v>
      </c>
      <c r="B80" s="21">
        <v>80</v>
      </c>
      <c r="C80" s="21" t="s">
        <v>83</v>
      </c>
    </row>
    <row r="81" spans="1:5">
      <c r="A81" s="86" t="s">
        <v>207</v>
      </c>
      <c r="B81" s="21">
        <v>81</v>
      </c>
      <c r="C81" s="21" t="s">
        <v>207</v>
      </c>
    </row>
    <row r="86" spans="1:5">
      <c r="E86" s="21" t="s">
        <v>340</v>
      </c>
    </row>
  </sheetData>
  <sortState xmlns:xlrd2="http://schemas.microsoft.com/office/spreadsheetml/2017/richdata2" ref="A2:L75">
    <sortCondition ref="A1"/>
  </sortState>
  <customSheetViews>
    <customSheetView guid="{2383B994-5DA1-4BB7-BA01-728624653006}" state="hidden" topLeftCell="A46">
      <selection activeCell="D1" sqref="D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FFA6C093-E866-4B92-9807-8D478A2763D4}" state="hidden" topLeftCell="A46">
      <selection activeCell="E61" sqref="E61"/>
      <pageMargins left="0.7" right="0.7" top="0.75" bottom="0.75" header="0.3" footer="0.3"/>
      <pageSetup paperSize="17" orientation="portrait" horizontalDpi="4294967295" verticalDpi="4294967295" r:id="rId3"/>
    </customSheetView>
  </customSheetViews>
  <phoneticPr fontId="91"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53125" defaultRowHeight="13"/>
  <cols>
    <col min="1" max="1" width="6.453125" style="43" customWidth="1"/>
    <col min="2" max="2" width="7" style="43" customWidth="1"/>
    <col min="3" max="3" width="0.453125" style="43" hidden="1" customWidth="1"/>
    <col min="4" max="5" width="6.54296875" style="43" customWidth="1"/>
    <col min="6" max="6" width="7.54296875" style="43" customWidth="1"/>
    <col min="7" max="7" width="2.54296875" style="43" customWidth="1"/>
    <col min="8" max="8" width="1.453125" style="43" customWidth="1"/>
    <col min="9" max="9" width="6.54296875" style="43" customWidth="1"/>
    <col min="10" max="10" width="6" style="43" customWidth="1"/>
    <col min="11" max="11" width="8.54296875" style="43" customWidth="1"/>
    <col min="12" max="12" width="7.54296875" style="43" customWidth="1"/>
    <col min="13" max="13" width="4.54296875" style="43" hidden="1" customWidth="1"/>
    <col min="14" max="14" width="31.453125" style="43" customWidth="1"/>
    <col min="15" max="15" width="3.54296875" style="43" hidden="1" customWidth="1"/>
    <col min="16" max="16" width="11.54296875" style="43" customWidth="1"/>
    <col min="17" max="17" width="9.54296875" style="43" customWidth="1"/>
    <col min="18" max="18" width="7.453125" style="43" customWidth="1"/>
    <col min="19" max="256" width="9.453125" style="43"/>
    <col min="257" max="257" width="6.453125" style="43" customWidth="1"/>
    <col min="258" max="258" width="7" style="43" customWidth="1"/>
    <col min="259" max="259" width="0" style="43" hidden="1" customWidth="1"/>
    <col min="260" max="261" width="6.54296875" style="43" customWidth="1"/>
    <col min="262" max="262" width="7.54296875" style="43" customWidth="1"/>
    <col min="263" max="263" width="2.54296875" style="43" customWidth="1"/>
    <col min="264" max="264" width="1.453125" style="43" customWidth="1"/>
    <col min="265" max="265" width="6.54296875" style="43" customWidth="1"/>
    <col min="266" max="266" width="6" style="43" customWidth="1"/>
    <col min="267" max="267" width="8.54296875" style="43" customWidth="1"/>
    <col min="268" max="268" width="7.54296875" style="43" customWidth="1"/>
    <col min="269" max="269" width="0" style="43" hidden="1" customWidth="1"/>
    <col min="270" max="270" width="25.453125" style="43" customWidth="1"/>
    <col min="271" max="271" width="0" style="43" hidden="1" customWidth="1"/>
    <col min="272" max="272" width="11.54296875" style="43" customWidth="1"/>
    <col min="273" max="273" width="9.54296875" style="43" customWidth="1"/>
    <col min="274" max="274" width="7.453125" style="43" customWidth="1"/>
    <col min="275" max="512" width="9.453125" style="43"/>
    <col min="513" max="513" width="6.453125" style="43" customWidth="1"/>
    <col min="514" max="514" width="7" style="43" customWidth="1"/>
    <col min="515" max="515" width="0" style="43" hidden="1" customWidth="1"/>
    <col min="516" max="517" width="6.54296875" style="43" customWidth="1"/>
    <col min="518" max="518" width="7.54296875" style="43" customWidth="1"/>
    <col min="519" max="519" width="2.54296875" style="43" customWidth="1"/>
    <col min="520" max="520" width="1.453125" style="43" customWidth="1"/>
    <col min="521" max="521" width="6.54296875" style="43" customWidth="1"/>
    <col min="522" max="522" width="6" style="43" customWidth="1"/>
    <col min="523" max="523" width="8.54296875" style="43" customWidth="1"/>
    <col min="524" max="524" width="7.54296875" style="43" customWidth="1"/>
    <col min="525" max="525" width="0" style="43" hidden="1" customWidth="1"/>
    <col min="526" max="526" width="25.453125" style="43" customWidth="1"/>
    <col min="527" max="527" width="0" style="43" hidden="1" customWidth="1"/>
    <col min="528" max="528" width="11.54296875" style="43" customWidth="1"/>
    <col min="529" max="529" width="9.54296875" style="43" customWidth="1"/>
    <col min="530" max="530" width="7.453125" style="43" customWidth="1"/>
    <col min="531" max="768" width="9.453125" style="43"/>
    <col min="769" max="769" width="6.453125" style="43" customWidth="1"/>
    <col min="770" max="770" width="7" style="43" customWidth="1"/>
    <col min="771" max="771" width="0" style="43" hidden="1" customWidth="1"/>
    <col min="772" max="773" width="6.54296875" style="43" customWidth="1"/>
    <col min="774" max="774" width="7.54296875" style="43" customWidth="1"/>
    <col min="775" max="775" width="2.54296875" style="43" customWidth="1"/>
    <col min="776" max="776" width="1.453125" style="43" customWidth="1"/>
    <col min="777" max="777" width="6.54296875" style="43" customWidth="1"/>
    <col min="778" max="778" width="6" style="43" customWidth="1"/>
    <col min="779" max="779" width="8.54296875" style="43" customWidth="1"/>
    <col min="780" max="780" width="7.54296875" style="43" customWidth="1"/>
    <col min="781" max="781" width="0" style="43" hidden="1" customWidth="1"/>
    <col min="782" max="782" width="25.453125" style="43" customWidth="1"/>
    <col min="783" max="783" width="0" style="43" hidden="1" customWidth="1"/>
    <col min="784" max="784" width="11.54296875" style="43" customWidth="1"/>
    <col min="785" max="785" width="9.54296875" style="43" customWidth="1"/>
    <col min="786" max="786" width="7.453125" style="43" customWidth="1"/>
    <col min="787" max="1024" width="9.453125" style="43"/>
    <col min="1025" max="1025" width="6.453125" style="43" customWidth="1"/>
    <col min="1026" max="1026" width="7" style="43" customWidth="1"/>
    <col min="1027" max="1027" width="0" style="43" hidden="1" customWidth="1"/>
    <col min="1028" max="1029" width="6.54296875" style="43" customWidth="1"/>
    <col min="1030" max="1030" width="7.54296875" style="43" customWidth="1"/>
    <col min="1031" max="1031" width="2.54296875" style="43" customWidth="1"/>
    <col min="1032" max="1032" width="1.453125" style="43" customWidth="1"/>
    <col min="1033" max="1033" width="6.54296875" style="43" customWidth="1"/>
    <col min="1034" max="1034" width="6" style="43" customWidth="1"/>
    <col min="1035" max="1035" width="8.54296875" style="43" customWidth="1"/>
    <col min="1036" max="1036" width="7.54296875" style="43" customWidth="1"/>
    <col min="1037" max="1037" width="0" style="43" hidden="1" customWidth="1"/>
    <col min="1038" max="1038" width="25.453125" style="43" customWidth="1"/>
    <col min="1039" max="1039" width="0" style="43" hidden="1" customWidth="1"/>
    <col min="1040" max="1040" width="11.54296875" style="43" customWidth="1"/>
    <col min="1041" max="1041" width="9.54296875" style="43" customWidth="1"/>
    <col min="1042" max="1042" width="7.453125" style="43" customWidth="1"/>
    <col min="1043" max="1280" width="9.453125" style="43"/>
    <col min="1281" max="1281" width="6.453125" style="43" customWidth="1"/>
    <col min="1282" max="1282" width="7" style="43" customWidth="1"/>
    <col min="1283" max="1283" width="0" style="43" hidden="1" customWidth="1"/>
    <col min="1284" max="1285" width="6.54296875" style="43" customWidth="1"/>
    <col min="1286" max="1286" width="7.54296875" style="43" customWidth="1"/>
    <col min="1287" max="1287" width="2.54296875" style="43" customWidth="1"/>
    <col min="1288" max="1288" width="1.453125" style="43" customWidth="1"/>
    <col min="1289" max="1289" width="6.54296875" style="43" customWidth="1"/>
    <col min="1290" max="1290" width="6" style="43" customWidth="1"/>
    <col min="1291" max="1291" width="8.54296875" style="43" customWidth="1"/>
    <col min="1292" max="1292" width="7.54296875" style="43" customWidth="1"/>
    <col min="1293" max="1293" width="0" style="43" hidden="1" customWidth="1"/>
    <col min="1294" max="1294" width="25.453125" style="43" customWidth="1"/>
    <col min="1295" max="1295" width="0" style="43" hidden="1" customWidth="1"/>
    <col min="1296" max="1296" width="11.54296875" style="43" customWidth="1"/>
    <col min="1297" max="1297" width="9.54296875" style="43" customWidth="1"/>
    <col min="1298" max="1298" width="7.453125" style="43" customWidth="1"/>
    <col min="1299" max="1536" width="9.453125" style="43"/>
    <col min="1537" max="1537" width="6.453125" style="43" customWidth="1"/>
    <col min="1538" max="1538" width="7" style="43" customWidth="1"/>
    <col min="1539" max="1539" width="0" style="43" hidden="1" customWidth="1"/>
    <col min="1540" max="1541" width="6.54296875" style="43" customWidth="1"/>
    <col min="1542" max="1542" width="7.54296875" style="43" customWidth="1"/>
    <col min="1543" max="1543" width="2.54296875" style="43" customWidth="1"/>
    <col min="1544" max="1544" width="1.453125" style="43" customWidth="1"/>
    <col min="1545" max="1545" width="6.54296875" style="43" customWidth="1"/>
    <col min="1546" max="1546" width="6" style="43" customWidth="1"/>
    <col min="1547" max="1547" width="8.54296875" style="43" customWidth="1"/>
    <col min="1548" max="1548" width="7.54296875" style="43" customWidth="1"/>
    <col min="1549" max="1549" width="0" style="43" hidden="1" customWidth="1"/>
    <col min="1550" max="1550" width="25.453125" style="43" customWidth="1"/>
    <col min="1551" max="1551" width="0" style="43" hidden="1" customWidth="1"/>
    <col min="1552" max="1552" width="11.54296875" style="43" customWidth="1"/>
    <col min="1553" max="1553" width="9.54296875" style="43" customWidth="1"/>
    <col min="1554" max="1554" width="7.453125" style="43" customWidth="1"/>
    <col min="1555" max="1792" width="9.453125" style="43"/>
    <col min="1793" max="1793" width="6.453125" style="43" customWidth="1"/>
    <col min="1794" max="1794" width="7" style="43" customWidth="1"/>
    <col min="1795" max="1795" width="0" style="43" hidden="1" customWidth="1"/>
    <col min="1796" max="1797" width="6.54296875" style="43" customWidth="1"/>
    <col min="1798" max="1798" width="7.54296875" style="43" customWidth="1"/>
    <col min="1799" max="1799" width="2.54296875" style="43" customWidth="1"/>
    <col min="1800" max="1800" width="1.453125" style="43" customWidth="1"/>
    <col min="1801" max="1801" width="6.54296875" style="43" customWidth="1"/>
    <col min="1802" max="1802" width="6" style="43" customWidth="1"/>
    <col min="1803" max="1803" width="8.54296875" style="43" customWidth="1"/>
    <col min="1804" max="1804" width="7.54296875" style="43" customWidth="1"/>
    <col min="1805" max="1805" width="0" style="43" hidden="1" customWidth="1"/>
    <col min="1806" max="1806" width="25.453125" style="43" customWidth="1"/>
    <col min="1807" max="1807" width="0" style="43" hidden="1" customWidth="1"/>
    <col min="1808" max="1808" width="11.54296875" style="43" customWidth="1"/>
    <col min="1809" max="1809" width="9.54296875" style="43" customWidth="1"/>
    <col min="1810" max="1810" width="7.453125" style="43" customWidth="1"/>
    <col min="1811" max="2048" width="9.453125" style="43"/>
    <col min="2049" max="2049" width="6.453125" style="43" customWidth="1"/>
    <col min="2050" max="2050" width="7" style="43" customWidth="1"/>
    <col min="2051" max="2051" width="0" style="43" hidden="1" customWidth="1"/>
    <col min="2052" max="2053" width="6.54296875" style="43" customWidth="1"/>
    <col min="2054" max="2054" width="7.54296875" style="43" customWidth="1"/>
    <col min="2055" max="2055" width="2.54296875" style="43" customWidth="1"/>
    <col min="2056" max="2056" width="1.453125" style="43" customWidth="1"/>
    <col min="2057" max="2057" width="6.54296875" style="43" customWidth="1"/>
    <col min="2058" max="2058" width="6" style="43" customWidth="1"/>
    <col min="2059" max="2059" width="8.54296875" style="43" customWidth="1"/>
    <col min="2060" max="2060" width="7.54296875" style="43" customWidth="1"/>
    <col min="2061" max="2061" width="0" style="43" hidden="1" customWidth="1"/>
    <col min="2062" max="2062" width="25.453125" style="43" customWidth="1"/>
    <col min="2063" max="2063" width="0" style="43" hidden="1" customWidth="1"/>
    <col min="2064" max="2064" width="11.54296875" style="43" customWidth="1"/>
    <col min="2065" max="2065" width="9.54296875" style="43" customWidth="1"/>
    <col min="2066" max="2066" width="7.453125" style="43" customWidth="1"/>
    <col min="2067" max="2304" width="9.453125" style="43"/>
    <col min="2305" max="2305" width="6.453125" style="43" customWidth="1"/>
    <col min="2306" max="2306" width="7" style="43" customWidth="1"/>
    <col min="2307" max="2307" width="0" style="43" hidden="1" customWidth="1"/>
    <col min="2308" max="2309" width="6.54296875" style="43" customWidth="1"/>
    <col min="2310" max="2310" width="7.54296875" style="43" customWidth="1"/>
    <col min="2311" max="2311" width="2.54296875" style="43" customWidth="1"/>
    <col min="2312" max="2312" width="1.453125" style="43" customWidth="1"/>
    <col min="2313" max="2313" width="6.54296875" style="43" customWidth="1"/>
    <col min="2314" max="2314" width="6" style="43" customWidth="1"/>
    <col min="2315" max="2315" width="8.54296875" style="43" customWidth="1"/>
    <col min="2316" max="2316" width="7.54296875" style="43" customWidth="1"/>
    <col min="2317" max="2317" width="0" style="43" hidden="1" customWidth="1"/>
    <col min="2318" max="2318" width="25.453125" style="43" customWidth="1"/>
    <col min="2319" max="2319" width="0" style="43" hidden="1" customWidth="1"/>
    <col min="2320" max="2320" width="11.54296875" style="43" customWidth="1"/>
    <col min="2321" max="2321" width="9.54296875" style="43" customWidth="1"/>
    <col min="2322" max="2322" width="7.453125" style="43" customWidth="1"/>
    <col min="2323" max="2560" width="9.453125" style="43"/>
    <col min="2561" max="2561" width="6.453125" style="43" customWidth="1"/>
    <col min="2562" max="2562" width="7" style="43" customWidth="1"/>
    <col min="2563" max="2563" width="0" style="43" hidden="1" customWidth="1"/>
    <col min="2564" max="2565" width="6.54296875" style="43" customWidth="1"/>
    <col min="2566" max="2566" width="7.54296875" style="43" customWidth="1"/>
    <col min="2567" max="2567" width="2.54296875" style="43" customWidth="1"/>
    <col min="2568" max="2568" width="1.453125" style="43" customWidth="1"/>
    <col min="2569" max="2569" width="6.54296875" style="43" customWidth="1"/>
    <col min="2570" max="2570" width="6" style="43" customWidth="1"/>
    <col min="2571" max="2571" width="8.54296875" style="43" customWidth="1"/>
    <col min="2572" max="2572" width="7.54296875" style="43" customWidth="1"/>
    <col min="2573" max="2573" width="0" style="43" hidden="1" customWidth="1"/>
    <col min="2574" max="2574" width="25.453125" style="43" customWidth="1"/>
    <col min="2575" max="2575" width="0" style="43" hidden="1" customWidth="1"/>
    <col min="2576" max="2576" width="11.54296875" style="43" customWidth="1"/>
    <col min="2577" max="2577" width="9.54296875" style="43" customWidth="1"/>
    <col min="2578" max="2578" width="7.453125" style="43" customWidth="1"/>
    <col min="2579" max="2816" width="9.453125" style="43"/>
    <col min="2817" max="2817" width="6.453125" style="43" customWidth="1"/>
    <col min="2818" max="2818" width="7" style="43" customWidth="1"/>
    <col min="2819" max="2819" width="0" style="43" hidden="1" customWidth="1"/>
    <col min="2820" max="2821" width="6.54296875" style="43" customWidth="1"/>
    <col min="2822" max="2822" width="7.54296875" style="43" customWidth="1"/>
    <col min="2823" max="2823" width="2.54296875" style="43" customWidth="1"/>
    <col min="2824" max="2824" width="1.453125" style="43" customWidth="1"/>
    <col min="2825" max="2825" width="6.54296875" style="43" customWidth="1"/>
    <col min="2826" max="2826" width="6" style="43" customWidth="1"/>
    <col min="2827" max="2827" width="8.54296875" style="43" customWidth="1"/>
    <col min="2828" max="2828" width="7.54296875" style="43" customWidth="1"/>
    <col min="2829" max="2829" width="0" style="43" hidden="1" customWidth="1"/>
    <col min="2830" max="2830" width="25.453125" style="43" customWidth="1"/>
    <col min="2831" max="2831" width="0" style="43" hidden="1" customWidth="1"/>
    <col min="2832" max="2832" width="11.54296875" style="43" customWidth="1"/>
    <col min="2833" max="2833" width="9.54296875" style="43" customWidth="1"/>
    <col min="2834" max="2834" width="7.453125" style="43" customWidth="1"/>
    <col min="2835" max="3072" width="9.453125" style="43"/>
    <col min="3073" max="3073" width="6.453125" style="43" customWidth="1"/>
    <col min="3074" max="3074" width="7" style="43" customWidth="1"/>
    <col min="3075" max="3075" width="0" style="43" hidden="1" customWidth="1"/>
    <col min="3076" max="3077" width="6.54296875" style="43" customWidth="1"/>
    <col min="3078" max="3078" width="7.54296875" style="43" customWidth="1"/>
    <col min="3079" max="3079" width="2.54296875" style="43" customWidth="1"/>
    <col min="3080" max="3080" width="1.453125" style="43" customWidth="1"/>
    <col min="3081" max="3081" width="6.54296875" style="43" customWidth="1"/>
    <col min="3082" max="3082" width="6" style="43" customWidth="1"/>
    <col min="3083" max="3083" width="8.54296875" style="43" customWidth="1"/>
    <col min="3084" max="3084" width="7.54296875" style="43" customWidth="1"/>
    <col min="3085" max="3085" width="0" style="43" hidden="1" customWidth="1"/>
    <col min="3086" max="3086" width="25.453125" style="43" customWidth="1"/>
    <col min="3087" max="3087" width="0" style="43" hidden="1" customWidth="1"/>
    <col min="3088" max="3088" width="11.54296875" style="43" customWidth="1"/>
    <col min="3089" max="3089" width="9.54296875" style="43" customWidth="1"/>
    <col min="3090" max="3090" width="7.453125" style="43" customWidth="1"/>
    <col min="3091" max="3328" width="9.453125" style="43"/>
    <col min="3329" max="3329" width="6.453125" style="43" customWidth="1"/>
    <col min="3330" max="3330" width="7" style="43" customWidth="1"/>
    <col min="3331" max="3331" width="0" style="43" hidden="1" customWidth="1"/>
    <col min="3332" max="3333" width="6.54296875" style="43" customWidth="1"/>
    <col min="3334" max="3334" width="7.54296875" style="43" customWidth="1"/>
    <col min="3335" max="3335" width="2.54296875" style="43" customWidth="1"/>
    <col min="3336" max="3336" width="1.453125" style="43" customWidth="1"/>
    <col min="3337" max="3337" width="6.54296875" style="43" customWidth="1"/>
    <col min="3338" max="3338" width="6" style="43" customWidth="1"/>
    <col min="3339" max="3339" width="8.54296875" style="43" customWidth="1"/>
    <col min="3340" max="3340" width="7.54296875" style="43" customWidth="1"/>
    <col min="3341" max="3341" width="0" style="43" hidden="1" customWidth="1"/>
    <col min="3342" max="3342" width="25.453125" style="43" customWidth="1"/>
    <col min="3343" max="3343" width="0" style="43" hidden="1" customWidth="1"/>
    <col min="3344" max="3344" width="11.54296875" style="43" customWidth="1"/>
    <col min="3345" max="3345" width="9.54296875" style="43" customWidth="1"/>
    <col min="3346" max="3346" width="7.453125" style="43" customWidth="1"/>
    <col min="3347" max="3584" width="9.453125" style="43"/>
    <col min="3585" max="3585" width="6.453125" style="43" customWidth="1"/>
    <col min="3586" max="3586" width="7" style="43" customWidth="1"/>
    <col min="3587" max="3587" width="0" style="43" hidden="1" customWidth="1"/>
    <col min="3588" max="3589" width="6.54296875" style="43" customWidth="1"/>
    <col min="3590" max="3590" width="7.54296875" style="43" customWidth="1"/>
    <col min="3591" max="3591" width="2.54296875" style="43" customWidth="1"/>
    <col min="3592" max="3592" width="1.453125" style="43" customWidth="1"/>
    <col min="3593" max="3593" width="6.54296875" style="43" customWidth="1"/>
    <col min="3594" max="3594" width="6" style="43" customWidth="1"/>
    <col min="3595" max="3595" width="8.54296875" style="43" customWidth="1"/>
    <col min="3596" max="3596" width="7.54296875" style="43" customWidth="1"/>
    <col min="3597" max="3597" width="0" style="43" hidden="1" customWidth="1"/>
    <col min="3598" max="3598" width="25.453125" style="43" customWidth="1"/>
    <col min="3599" max="3599" width="0" style="43" hidden="1" customWidth="1"/>
    <col min="3600" max="3600" width="11.54296875" style="43" customWidth="1"/>
    <col min="3601" max="3601" width="9.54296875" style="43" customWidth="1"/>
    <col min="3602" max="3602" width="7.453125" style="43" customWidth="1"/>
    <col min="3603" max="3840" width="9.453125" style="43"/>
    <col min="3841" max="3841" width="6.453125" style="43" customWidth="1"/>
    <col min="3842" max="3842" width="7" style="43" customWidth="1"/>
    <col min="3843" max="3843" width="0" style="43" hidden="1" customWidth="1"/>
    <col min="3844" max="3845" width="6.54296875" style="43" customWidth="1"/>
    <col min="3846" max="3846" width="7.54296875" style="43" customWidth="1"/>
    <col min="3847" max="3847" width="2.54296875" style="43" customWidth="1"/>
    <col min="3848" max="3848" width="1.453125" style="43" customWidth="1"/>
    <col min="3849" max="3849" width="6.54296875" style="43" customWidth="1"/>
    <col min="3850" max="3850" width="6" style="43" customWidth="1"/>
    <col min="3851" max="3851" width="8.54296875" style="43" customWidth="1"/>
    <col min="3852" max="3852" width="7.54296875" style="43" customWidth="1"/>
    <col min="3853" max="3853" width="0" style="43" hidden="1" customWidth="1"/>
    <col min="3854" max="3854" width="25.453125" style="43" customWidth="1"/>
    <col min="3855" max="3855" width="0" style="43" hidden="1" customWidth="1"/>
    <col min="3856" max="3856" width="11.54296875" style="43" customWidth="1"/>
    <col min="3857" max="3857" width="9.54296875" style="43" customWidth="1"/>
    <col min="3858" max="3858" width="7.453125" style="43" customWidth="1"/>
    <col min="3859" max="4096" width="9.453125" style="43"/>
    <col min="4097" max="4097" width="6.453125" style="43" customWidth="1"/>
    <col min="4098" max="4098" width="7" style="43" customWidth="1"/>
    <col min="4099" max="4099" width="0" style="43" hidden="1" customWidth="1"/>
    <col min="4100" max="4101" width="6.54296875" style="43" customWidth="1"/>
    <col min="4102" max="4102" width="7.54296875" style="43" customWidth="1"/>
    <col min="4103" max="4103" width="2.54296875" style="43" customWidth="1"/>
    <col min="4104" max="4104" width="1.453125" style="43" customWidth="1"/>
    <col min="4105" max="4105" width="6.54296875" style="43" customWidth="1"/>
    <col min="4106" max="4106" width="6" style="43" customWidth="1"/>
    <col min="4107" max="4107" width="8.54296875" style="43" customWidth="1"/>
    <col min="4108" max="4108" width="7.54296875" style="43" customWidth="1"/>
    <col min="4109" max="4109" width="0" style="43" hidden="1" customWidth="1"/>
    <col min="4110" max="4110" width="25.453125" style="43" customWidth="1"/>
    <col min="4111" max="4111" width="0" style="43" hidden="1" customWidth="1"/>
    <col min="4112" max="4112" width="11.54296875" style="43" customWidth="1"/>
    <col min="4113" max="4113" width="9.54296875" style="43" customWidth="1"/>
    <col min="4114" max="4114" width="7.453125" style="43" customWidth="1"/>
    <col min="4115" max="4352" width="9.453125" style="43"/>
    <col min="4353" max="4353" width="6.453125" style="43" customWidth="1"/>
    <col min="4354" max="4354" width="7" style="43" customWidth="1"/>
    <col min="4355" max="4355" width="0" style="43" hidden="1" customWidth="1"/>
    <col min="4356" max="4357" width="6.54296875" style="43" customWidth="1"/>
    <col min="4358" max="4358" width="7.54296875" style="43" customWidth="1"/>
    <col min="4359" max="4359" width="2.54296875" style="43" customWidth="1"/>
    <col min="4360" max="4360" width="1.453125" style="43" customWidth="1"/>
    <col min="4361" max="4361" width="6.54296875" style="43" customWidth="1"/>
    <col min="4362" max="4362" width="6" style="43" customWidth="1"/>
    <col min="4363" max="4363" width="8.54296875" style="43" customWidth="1"/>
    <col min="4364" max="4364" width="7.54296875" style="43" customWidth="1"/>
    <col min="4365" max="4365" width="0" style="43" hidden="1" customWidth="1"/>
    <col min="4366" max="4366" width="25.453125" style="43" customWidth="1"/>
    <col min="4367" max="4367" width="0" style="43" hidden="1" customWidth="1"/>
    <col min="4368" max="4368" width="11.54296875" style="43" customWidth="1"/>
    <col min="4369" max="4369" width="9.54296875" style="43" customWidth="1"/>
    <col min="4370" max="4370" width="7.453125" style="43" customWidth="1"/>
    <col min="4371" max="4608" width="9.453125" style="43"/>
    <col min="4609" max="4609" width="6.453125" style="43" customWidth="1"/>
    <col min="4610" max="4610" width="7" style="43" customWidth="1"/>
    <col min="4611" max="4611" width="0" style="43" hidden="1" customWidth="1"/>
    <col min="4612" max="4613" width="6.54296875" style="43" customWidth="1"/>
    <col min="4614" max="4614" width="7.54296875" style="43" customWidth="1"/>
    <col min="4615" max="4615" width="2.54296875" style="43" customWidth="1"/>
    <col min="4616" max="4616" width="1.453125" style="43" customWidth="1"/>
    <col min="4617" max="4617" width="6.54296875" style="43" customWidth="1"/>
    <col min="4618" max="4618" width="6" style="43" customWidth="1"/>
    <col min="4619" max="4619" width="8.54296875" style="43" customWidth="1"/>
    <col min="4620" max="4620" width="7.54296875" style="43" customWidth="1"/>
    <col min="4621" max="4621" width="0" style="43" hidden="1" customWidth="1"/>
    <col min="4622" max="4622" width="25.453125" style="43" customWidth="1"/>
    <col min="4623" max="4623" width="0" style="43" hidden="1" customWidth="1"/>
    <col min="4624" max="4624" width="11.54296875" style="43" customWidth="1"/>
    <col min="4625" max="4625" width="9.54296875" style="43" customWidth="1"/>
    <col min="4626" max="4626" width="7.453125" style="43" customWidth="1"/>
    <col min="4627" max="4864" width="9.453125" style="43"/>
    <col min="4865" max="4865" width="6.453125" style="43" customWidth="1"/>
    <col min="4866" max="4866" width="7" style="43" customWidth="1"/>
    <col min="4867" max="4867" width="0" style="43" hidden="1" customWidth="1"/>
    <col min="4868" max="4869" width="6.54296875" style="43" customWidth="1"/>
    <col min="4870" max="4870" width="7.54296875" style="43" customWidth="1"/>
    <col min="4871" max="4871" width="2.54296875" style="43" customWidth="1"/>
    <col min="4872" max="4872" width="1.453125" style="43" customWidth="1"/>
    <col min="4873" max="4873" width="6.54296875" style="43" customWidth="1"/>
    <col min="4874" max="4874" width="6" style="43" customWidth="1"/>
    <col min="4875" max="4875" width="8.54296875" style="43" customWidth="1"/>
    <col min="4876" max="4876" width="7.54296875" style="43" customWidth="1"/>
    <col min="4877" max="4877" width="0" style="43" hidden="1" customWidth="1"/>
    <col min="4878" max="4878" width="25.453125" style="43" customWidth="1"/>
    <col min="4879" max="4879" width="0" style="43" hidden="1" customWidth="1"/>
    <col min="4880" max="4880" width="11.54296875" style="43" customWidth="1"/>
    <col min="4881" max="4881" width="9.54296875" style="43" customWidth="1"/>
    <col min="4882" max="4882" width="7.453125" style="43" customWidth="1"/>
    <col min="4883" max="5120" width="9.453125" style="43"/>
    <col min="5121" max="5121" width="6.453125" style="43" customWidth="1"/>
    <col min="5122" max="5122" width="7" style="43" customWidth="1"/>
    <col min="5123" max="5123" width="0" style="43" hidden="1" customWidth="1"/>
    <col min="5124" max="5125" width="6.54296875" style="43" customWidth="1"/>
    <col min="5126" max="5126" width="7.54296875" style="43" customWidth="1"/>
    <col min="5127" max="5127" width="2.54296875" style="43" customWidth="1"/>
    <col min="5128" max="5128" width="1.453125" style="43" customWidth="1"/>
    <col min="5129" max="5129" width="6.54296875" style="43" customWidth="1"/>
    <col min="5130" max="5130" width="6" style="43" customWidth="1"/>
    <col min="5131" max="5131" width="8.54296875" style="43" customWidth="1"/>
    <col min="5132" max="5132" width="7.54296875" style="43" customWidth="1"/>
    <col min="5133" max="5133" width="0" style="43" hidden="1" customWidth="1"/>
    <col min="5134" max="5134" width="25.453125" style="43" customWidth="1"/>
    <col min="5135" max="5135" width="0" style="43" hidden="1" customWidth="1"/>
    <col min="5136" max="5136" width="11.54296875" style="43" customWidth="1"/>
    <col min="5137" max="5137" width="9.54296875" style="43" customWidth="1"/>
    <col min="5138" max="5138" width="7.453125" style="43" customWidth="1"/>
    <col min="5139" max="5376" width="9.453125" style="43"/>
    <col min="5377" max="5377" width="6.453125" style="43" customWidth="1"/>
    <col min="5378" max="5378" width="7" style="43" customWidth="1"/>
    <col min="5379" max="5379" width="0" style="43" hidden="1" customWidth="1"/>
    <col min="5380" max="5381" width="6.54296875" style="43" customWidth="1"/>
    <col min="5382" max="5382" width="7.54296875" style="43" customWidth="1"/>
    <col min="5383" max="5383" width="2.54296875" style="43" customWidth="1"/>
    <col min="5384" max="5384" width="1.453125" style="43" customWidth="1"/>
    <col min="5385" max="5385" width="6.54296875" style="43" customWidth="1"/>
    <col min="5386" max="5386" width="6" style="43" customWidth="1"/>
    <col min="5387" max="5387" width="8.54296875" style="43" customWidth="1"/>
    <col min="5388" max="5388" width="7.54296875" style="43" customWidth="1"/>
    <col min="5389" max="5389" width="0" style="43" hidden="1" customWidth="1"/>
    <col min="5390" max="5390" width="25.453125" style="43" customWidth="1"/>
    <col min="5391" max="5391" width="0" style="43" hidden="1" customWidth="1"/>
    <col min="5392" max="5392" width="11.54296875" style="43" customWidth="1"/>
    <col min="5393" max="5393" width="9.54296875" style="43" customWidth="1"/>
    <col min="5394" max="5394" width="7.453125" style="43" customWidth="1"/>
    <col min="5395" max="5632" width="9.453125" style="43"/>
    <col min="5633" max="5633" width="6.453125" style="43" customWidth="1"/>
    <col min="5634" max="5634" width="7" style="43" customWidth="1"/>
    <col min="5635" max="5635" width="0" style="43" hidden="1" customWidth="1"/>
    <col min="5636" max="5637" width="6.54296875" style="43" customWidth="1"/>
    <col min="5638" max="5638" width="7.54296875" style="43" customWidth="1"/>
    <col min="5639" max="5639" width="2.54296875" style="43" customWidth="1"/>
    <col min="5640" max="5640" width="1.453125" style="43" customWidth="1"/>
    <col min="5641" max="5641" width="6.54296875" style="43" customWidth="1"/>
    <col min="5642" max="5642" width="6" style="43" customWidth="1"/>
    <col min="5643" max="5643" width="8.54296875" style="43" customWidth="1"/>
    <col min="5644" max="5644" width="7.54296875" style="43" customWidth="1"/>
    <col min="5645" max="5645" width="0" style="43" hidden="1" customWidth="1"/>
    <col min="5646" max="5646" width="25.453125" style="43" customWidth="1"/>
    <col min="5647" max="5647" width="0" style="43" hidden="1" customWidth="1"/>
    <col min="5648" max="5648" width="11.54296875" style="43" customWidth="1"/>
    <col min="5649" max="5649" width="9.54296875" style="43" customWidth="1"/>
    <col min="5650" max="5650" width="7.453125" style="43" customWidth="1"/>
    <col min="5651" max="5888" width="9.453125" style="43"/>
    <col min="5889" max="5889" width="6.453125" style="43" customWidth="1"/>
    <col min="5890" max="5890" width="7" style="43" customWidth="1"/>
    <col min="5891" max="5891" width="0" style="43" hidden="1" customWidth="1"/>
    <col min="5892" max="5893" width="6.54296875" style="43" customWidth="1"/>
    <col min="5894" max="5894" width="7.54296875" style="43" customWidth="1"/>
    <col min="5895" max="5895" width="2.54296875" style="43" customWidth="1"/>
    <col min="5896" max="5896" width="1.453125" style="43" customWidth="1"/>
    <col min="5897" max="5897" width="6.54296875" style="43" customWidth="1"/>
    <col min="5898" max="5898" width="6" style="43" customWidth="1"/>
    <col min="5899" max="5899" width="8.54296875" style="43" customWidth="1"/>
    <col min="5900" max="5900" width="7.54296875" style="43" customWidth="1"/>
    <col min="5901" max="5901" width="0" style="43" hidden="1" customWidth="1"/>
    <col min="5902" max="5902" width="25.453125" style="43" customWidth="1"/>
    <col min="5903" max="5903" width="0" style="43" hidden="1" customWidth="1"/>
    <col min="5904" max="5904" width="11.54296875" style="43" customWidth="1"/>
    <col min="5905" max="5905" width="9.54296875" style="43" customWidth="1"/>
    <col min="5906" max="5906" width="7.453125" style="43" customWidth="1"/>
    <col min="5907" max="6144" width="9.453125" style="43"/>
    <col min="6145" max="6145" width="6.453125" style="43" customWidth="1"/>
    <col min="6146" max="6146" width="7" style="43" customWidth="1"/>
    <col min="6147" max="6147" width="0" style="43" hidden="1" customWidth="1"/>
    <col min="6148" max="6149" width="6.54296875" style="43" customWidth="1"/>
    <col min="6150" max="6150" width="7.54296875" style="43" customWidth="1"/>
    <col min="6151" max="6151" width="2.54296875" style="43" customWidth="1"/>
    <col min="6152" max="6152" width="1.453125" style="43" customWidth="1"/>
    <col min="6153" max="6153" width="6.54296875" style="43" customWidth="1"/>
    <col min="6154" max="6154" width="6" style="43" customWidth="1"/>
    <col min="6155" max="6155" width="8.54296875" style="43" customWidth="1"/>
    <col min="6156" max="6156" width="7.54296875" style="43" customWidth="1"/>
    <col min="6157" max="6157" width="0" style="43" hidden="1" customWidth="1"/>
    <col min="6158" max="6158" width="25.453125" style="43" customWidth="1"/>
    <col min="6159" max="6159" width="0" style="43" hidden="1" customWidth="1"/>
    <col min="6160" max="6160" width="11.54296875" style="43" customWidth="1"/>
    <col min="6161" max="6161" width="9.54296875" style="43" customWidth="1"/>
    <col min="6162" max="6162" width="7.453125" style="43" customWidth="1"/>
    <col min="6163" max="6400" width="9.453125" style="43"/>
    <col min="6401" max="6401" width="6.453125" style="43" customWidth="1"/>
    <col min="6402" max="6402" width="7" style="43" customWidth="1"/>
    <col min="6403" max="6403" width="0" style="43" hidden="1" customWidth="1"/>
    <col min="6404" max="6405" width="6.54296875" style="43" customWidth="1"/>
    <col min="6406" max="6406" width="7.54296875" style="43" customWidth="1"/>
    <col min="6407" max="6407" width="2.54296875" style="43" customWidth="1"/>
    <col min="6408" max="6408" width="1.453125" style="43" customWidth="1"/>
    <col min="6409" max="6409" width="6.54296875" style="43" customWidth="1"/>
    <col min="6410" max="6410" width="6" style="43" customWidth="1"/>
    <col min="6411" max="6411" width="8.54296875" style="43" customWidth="1"/>
    <col min="6412" max="6412" width="7.54296875" style="43" customWidth="1"/>
    <col min="6413" max="6413" width="0" style="43" hidden="1" customWidth="1"/>
    <col min="6414" max="6414" width="25.453125" style="43" customWidth="1"/>
    <col min="6415" max="6415" width="0" style="43" hidden="1" customWidth="1"/>
    <col min="6416" max="6416" width="11.54296875" style="43" customWidth="1"/>
    <col min="6417" max="6417" width="9.54296875" style="43" customWidth="1"/>
    <col min="6418" max="6418" width="7.453125" style="43" customWidth="1"/>
    <col min="6419" max="6656" width="9.453125" style="43"/>
    <col min="6657" max="6657" width="6.453125" style="43" customWidth="1"/>
    <col min="6658" max="6658" width="7" style="43" customWidth="1"/>
    <col min="6659" max="6659" width="0" style="43" hidden="1" customWidth="1"/>
    <col min="6660" max="6661" width="6.54296875" style="43" customWidth="1"/>
    <col min="6662" max="6662" width="7.54296875" style="43" customWidth="1"/>
    <col min="6663" max="6663" width="2.54296875" style="43" customWidth="1"/>
    <col min="6664" max="6664" width="1.453125" style="43" customWidth="1"/>
    <col min="6665" max="6665" width="6.54296875" style="43" customWidth="1"/>
    <col min="6666" max="6666" width="6" style="43" customWidth="1"/>
    <col min="6667" max="6667" width="8.54296875" style="43" customWidth="1"/>
    <col min="6668" max="6668" width="7.54296875" style="43" customWidth="1"/>
    <col min="6669" max="6669" width="0" style="43" hidden="1" customWidth="1"/>
    <col min="6670" max="6670" width="25.453125" style="43" customWidth="1"/>
    <col min="6671" max="6671" width="0" style="43" hidden="1" customWidth="1"/>
    <col min="6672" max="6672" width="11.54296875" style="43" customWidth="1"/>
    <col min="6673" max="6673" width="9.54296875" style="43" customWidth="1"/>
    <col min="6674" max="6674" width="7.453125" style="43" customWidth="1"/>
    <col min="6675" max="6912" width="9.453125" style="43"/>
    <col min="6913" max="6913" width="6.453125" style="43" customWidth="1"/>
    <col min="6914" max="6914" width="7" style="43" customWidth="1"/>
    <col min="6915" max="6915" width="0" style="43" hidden="1" customWidth="1"/>
    <col min="6916" max="6917" width="6.54296875" style="43" customWidth="1"/>
    <col min="6918" max="6918" width="7.54296875" style="43" customWidth="1"/>
    <col min="6919" max="6919" width="2.54296875" style="43" customWidth="1"/>
    <col min="6920" max="6920" width="1.453125" style="43" customWidth="1"/>
    <col min="6921" max="6921" width="6.54296875" style="43" customWidth="1"/>
    <col min="6922" max="6922" width="6" style="43" customWidth="1"/>
    <col min="6923" max="6923" width="8.54296875" style="43" customWidth="1"/>
    <col min="6924" max="6924" width="7.54296875" style="43" customWidth="1"/>
    <col min="6925" max="6925" width="0" style="43" hidden="1" customWidth="1"/>
    <col min="6926" max="6926" width="25.453125" style="43" customWidth="1"/>
    <col min="6927" max="6927" width="0" style="43" hidden="1" customWidth="1"/>
    <col min="6928" max="6928" width="11.54296875" style="43" customWidth="1"/>
    <col min="6929" max="6929" width="9.54296875" style="43" customWidth="1"/>
    <col min="6930" max="6930" width="7.453125" style="43" customWidth="1"/>
    <col min="6931" max="7168" width="9.453125" style="43"/>
    <col min="7169" max="7169" width="6.453125" style="43" customWidth="1"/>
    <col min="7170" max="7170" width="7" style="43" customWidth="1"/>
    <col min="7171" max="7171" width="0" style="43" hidden="1" customWidth="1"/>
    <col min="7172" max="7173" width="6.54296875" style="43" customWidth="1"/>
    <col min="7174" max="7174" width="7.54296875" style="43" customWidth="1"/>
    <col min="7175" max="7175" width="2.54296875" style="43" customWidth="1"/>
    <col min="7176" max="7176" width="1.453125" style="43" customWidth="1"/>
    <col min="7177" max="7177" width="6.54296875" style="43" customWidth="1"/>
    <col min="7178" max="7178" width="6" style="43" customWidth="1"/>
    <col min="7179" max="7179" width="8.54296875" style="43" customWidth="1"/>
    <col min="7180" max="7180" width="7.54296875" style="43" customWidth="1"/>
    <col min="7181" max="7181" width="0" style="43" hidden="1" customWidth="1"/>
    <col min="7182" max="7182" width="25.453125" style="43" customWidth="1"/>
    <col min="7183" max="7183" width="0" style="43" hidden="1" customWidth="1"/>
    <col min="7184" max="7184" width="11.54296875" style="43" customWidth="1"/>
    <col min="7185" max="7185" width="9.54296875" style="43" customWidth="1"/>
    <col min="7186" max="7186" width="7.453125" style="43" customWidth="1"/>
    <col min="7187" max="7424" width="9.453125" style="43"/>
    <col min="7425" max="7425" width="6.453125" style="43" customWidth="1"/>
    <col min="7426" max="7426" width="7" style="43" customWidth="1"/>
    <col min="7427" max="7427" width="0" style="43" hidden="1" customWidth="1"/>
    <col min="7428" max="7429" width="6.54296875" style="43" customWidth="1"/>
    <col min="7430" max="7430" width="7.54296875" style="43" customWidth="1"/>
    <col min="7431" max="7431" width="2.54296875" style="43" customWidth="1"/>
    <col min="7432" max="7432" width="1.453125" style="43" customWidth="1"/>
    <col min="7433" max="7433" width="6.54296875" style="43" customWidth="1"/>
    <col min="7434" max="7434" width="6" style="43" customWidth="1"/>
    <col min="7435" max="7435" width="8.54296875" style="43" customWidth="1"/>
    <col min="7436" max="7436" width="7.54296875" style="43" customWidth="1"/>
    <col min="7437" max="7437" width="0" style="43" hidden="1" customWidth="1"/>
    <col min="7438" max="7438" width="25.453125" style="43" customWidth="1"/>
    <col min="7439" max="7439" width="0" style="43" hidden="1" customWidth="1"/>
    <col min="7440" max="7440" width="11.54296875" style="43" customWidth="1"/>
    <col min="7441" max="7441" width="9.54296875" style="43" customWidth="1"/>
    <col min="7442" max="7442" width="7.453125" style="43" customWidth="1"/>
    <col min="7443" max="7680" width="9.453125" style="43"/>
    <col min="7681" max="7681" width="6.453125" style="43" customWidth="1"/>
    <col min="7682" max="7682" width="7" style="43" customWidth="1"/>
    <col min="7683" max="7683" width="0" style="43" hidden="1" customWidth="1"/>
    <col min="7684" max="7685" width="6.54296875" style="43" customWidth="1"/>
    <col min="7686" max="7686" width="7.54296875" style="43" customWidth="1"/>
    <col min="7687" max="7687" width="2.54296875" style="43" customWidth="1"/>
    <col min="7688" max="7688" width="1.453125" style="43" customWidth="1"/>
    <col min="7689" max="7689" width="6.54296875" style="43" customWidth="1"/>
    <col min="7690" max="7690" width="6" style="43" customWidth="1"/>
    <col min="7691" max="7691" width="8.54296875" style="43" customWidth="1"/>
    <col min="7692" max="7692" width="7.54296875" style="43" customWidth="1"/>
    <col min="7693" max="7693" width="0" style="43" hidden="1" customWidth="1"/>
    <col min="7694" max="7694" width="25.453125" style="43" customWidth="1"/>
    <col min="7695" max="7695" width="0" style="43" hidden="1" customWidth="1"/>
    <col min="7696" max="7696" width="11.54296875" style="43" customWidth="1"/>
    <col min="7697" max="7697" width="9.54296875" style="43" customWidth="1"/>
    <col min="7698" max="7698" width="7.453125" style="43" customWidth="1"/>
    <col min="7699" max="7936" width="9.453125" style="43"/>
    <col min="7937" max="7937" width="6.453125" style="43" customWidth="1"/>
    <col min="7938" max="7938" width="7" style="43" customWidth="1"/>
    <col min="7939" max="7939" width="0" style="43" hidden="1" customWidth="1"/>
    <col min="7940" max="7941" width="6.54296875" style="43" customWidth="1"/>
    <col min="7942" max="7942" width="7.54296875" style="43" customWidth="1"/>
    <col min="7943" max="7943" width="2.54296875" style="43" customWidth="1"/>
    <col min="7944" max="7944" width="1.453125" style="43" customWidth="1"/>
    <col min="7945" max="7945" width="6.54296875" style="43" customWidth="1"/>
    <col min="7946" max="7946" width="6" style="43" customWidth="1"/>
    <col min="7947" max="7947" width="8.54296875" style="43" customWidth="1"/>
    <col min="7948" max="7948" width="7.54296875" style="43" customWidth="1"/>
    <col min="7949" max="7949" width="0" style="43" hidden="1" customWidth="1"/>
    <col min="7950" max="7950" width="25.453125" style="43" customWidth="1"/>
    <col min="7951" max="7951" width="0" style="43" hidden="1" customWidth="1"/>
    <col min="7952" max="7952" width="11.54296875" style="43" customWidth="1"/>
    <col min="7953" max="7953" width="9.54296875" style="43" customWidth="1"/>
    <col min="7954" max="7954" width="7.453125" style="43" customWidth="1"/>
    <col min="7955" max="8192" width="9.453125" style="43"/>
    <col min="8193" max="8193" width="6.453125" style="43" customWidth="1"/>
    <col min="8194" max="8194" width="7" style="43" customWidth="1"/>
    <col min="8195" max="8195" width="0" style="43" hidden="1" customWidth="1"/>
    <col min="8196" max="8197" width="6.54296875" style="43" customWidth="1"/>
    <col min="8198" max="8198" width="7.54296875" style="43" customWidth="1"/>
    <col min="8199" max="8199" width="2.54296875" style="43" customWidth="1"/>
    <col min="8200" max="8200" width="1.453125" style="43" customWidth="1"/>
    <col min="8201" max="8201" width="6.54296875" style="43" customWidth="1"/>
    <col min="8202" max="8202" width="6" style="43" customWidth="1"/>
    <col min="8203" max="8203" width="8.54296875" style="43" customWidth="1"/>
    <col min="8204" max="8204" width="7.54296875" style="43" customWidth="1"/>
    <col min="8205" max="8205" width="0" style="43" hidden="1" customWidth="1"/>
    <col min="8206" max="8206" width="25.453125" style="43" customWidth="1"/>
    <col min="8207" max="8207" width="0" style="43" hidden="1" customWidth="1"/>
    <col min="8208" max="8208" width="11.54296875" style="43" customWidth="1"/>
    <col min="8209" max="8209" width="9.54296875" style="43" customWidth="1"/>
    <col min="8210" max="8210" width="7.453125" style="43" customWidth="1"/>
    <col min="8211" max="8448" width="9.453125" style="43"/>
    <col min="8449" max="8449" width="6.453125" style="43" customWidth="1"/>
    <col min="8450" max="8450" width="7" style="43" customWidth="1"/>
    <col min="8451" max="8451" width="0" style="43" hidden="1" customWidth="1"/>
    <col min="8452" max="8453" width="6.54296875" style="43" customWidth="1"/>
    <col min="8454" max="8454" width="7.54296875" style="43" customWidth="1"/>
    <col min="8455" max="8455" width="2.54296875" style="43" customWidth="1"/>
    <col min="8456" max="8456" width="1.453125" style="43" customWidth="1"/>
    <col min="8457" max="8457" width="6.54296875" style="43" customWidth="1"/>
    <col min="8458" max="8458" width="6" style="43" customWidth="1"/>
    <col min="8459" max="8459" width="8.54296875" style="43" customWidth="1"/>
    <col min="8460" max="8460" width="7.54296875" style="43" customWidth="1"/>
    <col min="8461" max="8461" width="0" style="43" hidden="1" customWidth="1"/>
    <col min="8462" max="8462" width="25.453125" style="43" customWidth="1"/>
    <col min="8463" max="8463" width="0" style="43" hidden="1" customWidth="1"/>
    <col min="8464" max="8464" width="11.54296875" style="43" customWidth="1"/>
    <col min="8465" max="8465" width="9.54296875" style="43" customWidth="1"/>
    <col min="8466" max="8466" width="7.453125" style="43" customWidth="1"/>
    <col min="8467" max="8704" width="9.453125" style="43"/>
    <col min="8705" max="8705" width="6.453125" style="43" customWidth="1"/>
    <col min="8706" max="8706" width="7" style="43" customWidth="1"/>
    <col min="8707" max="8707" width="0" style="43" hidden="1" customWidth="1"/>
    <col min="8708" max="8709" width="6.54296875" style="43" customWidth="1"/>
    <col min="8710" max="8710" width="7.54296875" style="43" customWidth="1"/>
    <col min="8711" max="8711" width="2.54296875" style="43" customWidth="1"/>
    <col min="8712" max="8712" width="1.453125" style="43" customWidth="1"/>
    <col min="8713" max="8713" width="6.54296875" style="43" customWidth="1"/>
    <col min="8714" max="8714" width="6" style="43" customWidth="1"/>
    <col min="8715" max="8715" width="8.54296875" style="43" customWidth="1"/>
    <col min="8716" max="8716" width="7.54296875" style="43" customWidth="1"/>
    <col min="8717" max="8717" width="0" style="43" hidden="1" customWidth="1"/>
    <col min="8718" max="8718" width="25.453125" style="43" customWidth="1"/>
    <col min="8719" max="8719" width="0" style="43" hidden="1" customWidth="1"/>
    <col min="8720" max="8720" width="11.54296875" style="43" customWidth="1"/>
    <col min="8721" max="8721" width="9.54296875" style="43" customWidth="1"/>
    <col min="8722" max="8722" width="7.453125" style="43" customWidth="1"/>
    <col min="8723" max="8960" width="9.453125" style="43"/>
    <col min="8961" max="8961" width="6.453125" style="43" customWidth="1"/>
    <col min="8962" max="8962" width="7" style="43" customWidth="1"/>
    <col min="8963" max="8963" width="0" style="43" hidden="1" customWidth="1"/>
    <col min="8964" max="8965" width="6.54296875" style="43" customWidth="1"/>
    <col min="8966" max="8966" width="7.54296875" style="43" customWidth="1"/>
    <col min="8967" max="8967" width="2.54296875" style="43" customWidth="1"/>
    <col min="8968" max="8968" width="1.453125" style="43" customWidth="1"/>
    <col min="8969" max="8969" width="6.54296875" style="43" customWidth="1"/>
    <col min="8970" max="8970" width="6" style="43" customWidth="1"/>
    <col min="8971" max="8971" width="8.54296875" style="43" customWidth="1"/>
    <col min="8972" max="8972" width="7.54296875" style="43" customWidth="1"/>
    <col min="8973" max="8973" width="0" style="43" hidden="1" customWidth="1"/>
    <col min="8974" max="8974" width="25.453125" style="43" customWidth="1"/>
    <col min="8975" max="8975" width="0" style="43" hidden="1" customWidth="1"/>
    <col min="8976" max="8976" width="11.54296875" style="43" customWidth="1"/>
    <col min="8977" max="8977" width="9.54296875" style="43" customWidth="1"/>
    <col min="8978" max="8978" width="7.453125" style="43" customWidth="1"/>
    <col min="8979" max="9216" width="9.453125" style="43"/>
    <col min="9217" max="9217" width="6.453125" style="43" customWidth="1"/>
    <col min="9218" max="9218" width="7" style="43" customWidth="1"/>
    <col min="9219" max="9219" width="0" style="43" hidden="1" customWidth="1"/>
    <col min="9220" max="9221" width="6.54296875" style="43" customWidth="1"/>
    <col min="9222" max="9222" width="7.54296875" style="43" customWidth="1"/>
    <col min="9223" max="9223" width="2.54296875" style="43" customWidth="1"/>
    <col min="9224" max="9224" width="1.453125" style="43" customWidth="1"/>
    <col min="9225" max="9225" width="6.54296875" style="43" customWidth="1"/>
    <col min="9226" max="9226" width="6" style="43" customWidth="1"/>
    <col min="9227" max="9227" width="8.54296875" style="43" customWidth="1"/>
    <col min="9228" max="9228" width="7.54296875" style="43" customWidth="1"/>
    <col min="9229" max="9229" width="0" style="43" hidden="1" customWidth="1"/>
    <col min="9230" max="9230" width="25.453125" style="43" customWidth="1"/>
    <col min="9231" max="9231" width="0" style="43" hidden="1" customWidth="1"/>
    <col min="9232" max="9232" width="11.54296875" style="43" customWidth="1"/>
    <col min="9233" max="9233" width="9.54296875" style="43" customWidth="1"/>
    <col min="9234" max="9234" width="7.453125" style="43" customWidth="1"/>
    <col min="9235" max="9472" width="9.453125" style="43"/>
    <col min="9473" max="9473" width="6.453125" style="43" customWidth="1"/>
    <col min="9474" max="9474" width="7" style="43" customWidth="1"/>
    <col min="9475" max="9475" width="0" style="43" hidden="1" customWidth="1"/>
    <col min="9476" max="9477" width="6.54296875" style="43" customWidth="1"/>
    <col min="9478" max="9478" width="7.54296875" style="43" customWidth="1"/>
    <col min="9479" max="9479" width="2.54296875" style="43" customWidth="1"/>
    <col min="9480" max="9480" width="1.453125" style="43" customWidth="1"/>
    <col min="9481" max="9481" width="6.54296875" style="43" customWidth="1"/>
    <col min="9482" max="9482" width="6" style="43" customWidth="1"/>
    <col min="9483" max="9483" width="8.54296875" style="43" customWidth="1"/>
    <col min="9484" max="9484" width="7.54296875" style="43" customWidth="1"/>
    <col min="9485" max="9485" width="0" style="43" hidden="1" customWidth="1"/>
    <col min="9486" max="9486" width="25.453125" style="43" customWidth="1"/>
    <col min="9487" max="9487" width="0" style="43" hidden="1" customWidth="1"/>
    <col min="9488" max="9488" width="11.54296875" style="43" customWidth="1"/>
    <col min="9489" max="9489" width="9.54296875" style="43" customWidth="1"/>
    <col min="9490" max="9490" width="7.453125" style="43" customWidth="1"/>
    <col min="9491" max="9728" width="9.453125" style="43"/>
    <col min="9729" max="9729" width="6.453125" style="43" customWidth="1"/>
    <col min="9730" max="9730" width="7" style="43" customWidth="1"/>
    <col min="9731" max="9731" width="0" style="43" hidden="1" customWidth="1"/>
    <col min="9732" max="9733" width="6.54296875" style="43" customWidth="1"/>
    <col min="9734" max="9734" width="7.54296875" style="43" customWidth="1"/>
    <col min="9735" max="9735" width="2.54296875" style="43" customWidth="1"/>
    <col min="9736" max="9736" width="1.453125" style="43" customWidth="1"/>
    <col min="9737" max="9737" width="6.54296875" style="43" customWidth="1"/>
    <col min="9738" max="9738" width="6" style="43" customWidth="1"/>
    <col min="9739" max="9739" width="8.54296875" style="43" customWidth="1"/>
    <col min="9740" max="9740" width="7.54296875" style="43" customWidth="1"/>
    <col min="9741" max="9741" width="0" style="43" hidden="1" customWidth="1"/>
    <col min="9742" max="9742" width="25.453125" style="43" customWidth="1"/>
    <col min="9743" max="9743" width="0" style="43" hidden="1" customWidth="1"/>
    <col min="9744" max="9744" width="11.54296875" style="43" customWidth="1"/>
    <col min="9745" max="9745" width="9.54296875" style="43" customWidth="1"/>
    <col min="9746" max="9746" width="7.453125" style="43" customWidth="1"/>
    <col min="9747" max="9984" width="9.453125" style="43"/>
    <col min="9985" max="9985" width="6.453125" style="43" customWidth="1"/>
    <col min="9986" max="9986" width="7" style="43" customWidth="1"/>
    <col min="9987" max="9987" width="0" style="43" hidden="1" customWidth="1"/>
    <col min="9988" max="9989" width="6.54296875" style="43" customWidth="1"/>
    <col min="9990" max="9990" width="7.54296875" style="43" customWidth="1"/>
    <col min="9991" max="9991" width="2.54296875" style="43" customWidth="1"/>
    <col min="9992" max="9992" width="1.453125" style="43" customWidth="1"/>
    <col min="9993" max="9993" width="6.54296875" style="43" customWidth="1"/>
    <col min="9994" max="9994" width="6" style="43" customWidth="1"/>
    <col min="9995" max="9995" width="8.54296875" style="43" customWidth="1"/>
    <col min="9996" max="9996" width="7.54296875" style="43" customWidth="1"/>
    <col min="9997" max="9997" width="0" style="43" hidden="1" customWidth="1"/>
    <col min="9998" max="9998" width="25.453125" style="43" customWidth="1"/>
    <col min="9999" max="9999" width="0" style="43" hidden="1" customWidth="1"/>
    <col min="10000" max="10000" width="11.54296875" style="43" customWidth="1"/>
    <col min="10001" max="10001" width="9.54296875" style="43" customWidth="1"/>
    <col min="10002" max="10002" width="7.453125" style="43" customWidth="1"/>
    <col min="10003" max="10240" width="9.453125" style="43"/>
    <col min="10241" max="10241" width="6.453125" style="43" customWidth="1"/>
    <col min="10242" max="10242" width="7" style="43" customWidth="1"/>
    <col min="10243" max="10243" width="0" style="43" hidden="1" customWidth="1"/>
    <col min="10244" max="10245" width="6.54296875" style="43" customWidth="1"/>
    <col min="10246" max="10246" width="7.54296875" style="43" customWidth="1"/>
    <col min="10247" max="10247" width="2.54296875" style="43" customWidth="1"/>
    <col min="10248" max="10248" width="1.453125" style="43" customWidth="1"/>
    <col min="10249" max="10249" width="6.54296875" style="43" customWidth="1"/>
    <col min="10250" max="10250" width="6" style="43" customWidth="1"/>
    <col min="10251" max="10251" width="8.54296875" style="43" customWidth="1"/>
    <col min="10252" max="10252" width="7.54296875" style="43" customWidth="1"/>
    <col min="10253" max="10253" width="0" style="43" hidden="1" customWidth="1"/>
    <col min="10254" max="10254" width="25.453125" style="43" customWidth="1"/>
    <col min="10255" max="10255" width="0" style="43" hidden="1" customWidth="1"/>
    <col min="10256" max="10256" width="11.54296875" style="43" customWidth="1"/>
    <col min="10257" max="10257" width="9.54296875" style="43" customWidth="1"/>
    <col min="10258" max="10258" width="7.453125" style="43" customWidth="1"/>
    <col min="10259" max="10496" width="9.453125" style="43"/>
    <col min="10497" max="10497" width="6.453125" style="43" customWidth="1"/>
    <col min="10498" max="10498" width="7" style="43" customWidth="1"/>
    <col min="10499" max="10499" width="0" style="43" hidden="1" customWidth="1"/>
    <col min="10500" max="10501" width="6.54296875" style="43" customWidth="1"/>
    <col min="10502" max="10502" width="7.54296875" style="43" customWidth="1"/>
    <col min="10503" max="10503" width="2.54296875" style="43" customWidth="1"/>
    <col min="10504" max="10504" width="1.453125" style="43" customWidth="1"/>
    <col min="10505" max="10505" width="6.54296875" style="43" customWidth="1"/>
    <col min="10506" max="10506" width="6" style="43" customWidth="1"/>
    <col min="10507" max="10507" width="8.54296875" style="43" customWidth="1"/>
    <col min="10508" max="10508" width="7.54296875" style="43" customWidth="1"/>
    <col min="10509" max="10509" width="0" style="43" hidden="1" customWidth="1"/>
    <col min="10510" max="10510" width="25.453125" style="43" customWidth="1"/>
    <col min="10511" max="10511" width="0" style="43" hidden="1" customWidth="1"/>
    <col min="10512" max="10512" width="11.54296875" style="43" customWidth="1"/>
    <col min="10513" max="10513" width="9.54296875" style="43" customWidth="1"/>
    <col min="10514" max="10514" width="7.453125" style="43" customWidth="1"/>
    <col min="10515" max="10752" width="9.453125" style="43"/>
    <col min="10753" max="10753" width="6.453125" style="43" customWidth="1"/>
    <col min="10754" max="10754" width="7" style="43" customWidth="1"/>
    <col min="10755" max="10755" width="0" style="43" hidden="1" customWidth="1"/>
    <col min="10756" max="10757" width="6.54296875" style="43" customWidth="1"/>
    <col min="10758" max="10758" width="7.54296875" style="43" customWidth="1"/>
    <col min="10759" max="10759" width="2.54296875" style="43" customWidth="1"/>
    <col min="10760" max="10760" width="1.453125" style="43" customWidth="1"/>
    <col min="10761" max="10761" width="6.54296875" style="43" customWidth="1"/>
    <col min="10762" max="10762" width="6" style="43" customWidth="1"/>
    <col min="10763" max="10763" width="8.54296875" style="43" customWidth="1"/>
    <col min="10764" max="10764" width="7.54296875" style="43" customWidth="1"/>
    <col min="10765" max="10765" width="0" style="43" hidden="1" customWidth="1"/>
    <col min="10766" max="10766" width="25.453125" style="43" customWidth="1"/>
    <col min="10767" max="10767" width="0" style="43" hidden="1" customWidth="1"/>
    <col min="10768" max="10768" width="11.54296875" style="43" customWidth="1"/>
    <col min="10769" max="10769" width="9.54296875" style="43" customWidth="1"/>
    <col min="10770" max="10770" width="7.453125" style="43" customWidth="1"/>
    <col min="10771" max="11008" width="9.453125" style="43"/>
    <col min="11009" max="11009" width="6.453125" style="43" customWidth="1"/>
    <col min="11010" max="11010" width="7" style="43" customWidth="1"/>
    <col min="11011" max="11011" width="0" style="43" hidden="1" customWidth="1"/>
    <col min="11012" max="11013" width="6.54296875" style="43" customWidth="1"/>
    <col min="11014" max="11014" width="7.54296875" style="43" customWidth="1"/>
    <col min="11015" max="11015" width="2.54296875" style="43" customWidth="1"/>
    <col min="11016" max="11016" width="1.453125" style="43" customWidth="1"/>
    <col min="11017" max="11017" width="6.54296875" style="43" customWidth="1"/>
    <col min="11018" max="11018" width="6" style="43" customWidth="1"/>
    <col min="11019" max="11019" width="8.54296875" style="43" customWidth="1"/>
    <col min="11020" max="11020" width="7.54296875" style="43" customWidth="1"/>
    <col min="11021" max="11021" width="0" style="43" hidden="1" customWidth="1"/>
    <col min="11022" max="11022" width="25.453125" style="43" customWidth="1"/>
    <col min="11023" max="11023" width="0" style="43" hidden="1" customWidth="1"/>
    <col min="11024" max="11024" width="11.54296875" style="43" customWidth="1"/>
    <col min="11025" max="11025" width="9.54296875" style="43" customWidth="1"/>
    <col min="11026" max="11026" width="7.453125" style="43" customWidth="1"/>
    <col min="11027" max="11264" width="9.453125" style="43"/>
    <col min="11265" max="11265" width="6.453125" style="43" customWidth="1"/>
    <col min="11266" max="11266" width="7" style="43" customWidth="1"/>
    <col min="11267" max="11267" width="0" style="43" hidden="1" customWidth="1"/>
    <col min="11268" max="11269" width="6.54296875" style="43" customWidth="1"/>
    <col min="11270" max="11270" width="7.54296875" style="43" customWidth="1"/>
    <col min="11271" max="11271" width="2.54296875" style="43" customWidth="1"/>
    <col min="11272" max="11272" width="1.453125" style="43" customWidth="1"/>
    <col min="11273" max="11273" width="6.54296875" style="43" customWidth="1"/>
    <col min="11274" max="11274" width="6" style="43" customWidth="1"/>
    <col min="11275" max="11275" width="8.54296875" style="43" customWidth="1"/>
    <col min="11276" max="11276" width="7.54296875" style="43" customWidth="1"/>
    <col min="11277" max="11277" width="0" style="43" hidden="1" customWidth="1"/>
    <col min="11278" max="11278" width="25.453125" style="43" customWidth="1"/>
    <col min="11279" max="11279" width="0" style="43" hidden="1" customWidth="1"/>
    <col min="11280" max="11280" width="11.54296875" style="43" customWidth="1"/>
    <col min="11281" max="11281" width="9.54296875" style="43" customWidth="1"/>
    <col min="11282" max="11282" width="7.453125" style="43" customWidth="1"/>
    <col min="11283" max="11520" width="9.453125" style="43"/>
    <col min="11521" max="11521" width="6.453125" style="43" customWidth="1"/>
    <col min="11522" max="11522" width="7" style="43" customWidth="1"/>
    <col min="11523" max="11523" width="0" style="43" hidden="1" customWidth="1"/>
    <col min="11524" max="11525" width="6.54296875" style="43" customWidth="1"/>
    <col min="11526" max="11526" width="7.54296875" style="43" customWidth="1"/>
    <col min="11527" max="11527" width="2.54296875" style="43" customWidth="1"/>
    <col min="11528" max="11528" width="1.453125" style="43" customWidth="1"/>
    <col min="11529" max="11529" width="6.54296875" style="43" customWidth="1"/>
    <col min="11530" max="11530" width="6" style="43" customWidth="1"/>
    <col min="11531" max="11531" width="8.54296875" style="43" customWidth="1"/>
    <col min="11532" max="11532" width="7.54296875" style="43" customWidth="1"/>
    <col min="11533" max="11533" width="0" style="43" hidden="1" customWidth="1"/>
    <col min="11534" max="11534" width="25.453125" style="43" customWidth="1"/>
    <col min="11535" max="11535" width="0" style="43" hidden="1" customWidth="1"/>
    <col min="11536" max="11536" width="11.54296875" style="43" customWidth="1"/>
    <col min="11537" max="11537" width="9.54296875" style="43" customWidth="1"/>
    <col min="11538" max="11538" width="7.453125" style="43" customWidth="1"/>
    <col min="11539" max="11776" width="9.453125" style="43"/>
    <col min="11777" max="11777" width="6.453125" style="43" customWidth="1"/>
    <col min="11778" max="11778" width="7" style="43" customWidth="1"/>
    <col min="11779" max="11779" width="0" style="43" hidden="1" customWidth="1"/>
    <col min="11780" max="11781" width="6.54296875" style="43" customWidth="1"/>
    <col min="11782" max="11782" width="7.54296875" style="43" customWidth="1"/>
    <col min="11783" max="11783" width="2.54296875" style="43" customWidth="1"/>
    <col min="11784" max="11784" width="1.453125" style="43" customWidth="1"/>
    <col min="11785" max="11785" width="6.54296875" style="43" customWidth="1"/>
    <col min="11786" max="11786" width="6" style="43" customWidth="1"/>
    <col min="11787" max="11787" width="8.54296875" style="43" customWidth="1"/>
    <col min="11788" max="11788" width="7.54296875" style="43" customWidth="1"/>
    <col min="11789" max="11789" width="0" style="43" hidden="1" customWidth="1"/>
    <col min="11790" max="11790" width="25.453125" style="43" customWidth="1"/>
    <col min="11791" max="11791" width="0" style="43" hidden="1" customWidth="1"/>
    <col min="11792" max="11792" width="11.54296875" style="43" customWidth="1"/>
    <col min="11793" max="11793" width="9.54296875" style="43" customWidth="1"/>
    <col min="11794" max="11794" width="7.453125" style="43" customWidth="1"/>
    <col min="11795" max="12032" width="9.453125" style="43"/>
    <col min="12033" max="12033" width="6.453125" style="43" customWidth="1"/>
    <col min="12034" max="12034" width="7" style="43" customWidth="1"/>
    <col min="12035" max="12035" width="0" style="43" hidden="1" customWidth="1"/>
    <col min="12036" max="12037" width="6.54296875" style="43" customWidth="1"/>
    <col min="12038" max="12038" width="7.54296875" style="43" customWidth="1"/>
    <col min="12039" max="12039" width="2.54296875" style="43" customWidth="1"/>
    <col min="12040" max="12040" width="1.453125" style="43" customWidth="1"/>
    <col min="12041" max="12041" width="6.54296875" style="43" customWidth="1"/>
    <col min="12042" max="12042" width="6" style="43" customWidth="1"/>
    <col min="12043" max="12043" width="8.54296875" style="43" customWidth="1"/>
    <col min="12044" max="12044" width="7.54296875" style="43" customWidth="1"/>
    <col min="12045" max="12045" width="0" style="43" hidden="1" customWidth="1"/>
    <col min="12046" max="12046" width="25.453125" style="43" customWidth="1"/>
    <col min="12047" max="12047" width="0" style="43" hidden="1" customWidth="1"/>
    <col min="12048" max="12048" width="11.54296875" style="43" customWidth="1"/>
    <col min="12049" max="12049" width="9.54296875" style="43" customWidth="1"/>
    <col min="12050" max="12050" width="7.453125" style="43" customWidth="1"/>
    <col min="12051" max="12288" width="9.453125" style="43"/>
    <col min="12289" max="12289" width="6.453125" style="43" customWidth="1"/>
    <col min="12290" max="12290" width="7" style="43" customWidth="1"/>
    <col min="12291" max="12291" width="0" style="43" hidden="1" customWidth="1"/>
    <col min="12292" max="12293" width="6.54296875" style="43" customWidth="1"/>
    <col min="12294" max="12294" width="7.54296875" style="43" customWidth="1"/>
    <col min="12295" max="12295" width="2.54296875" style="43" customWidth="1"/>
    <col min="12296" max="12296" width="1.453125" style="43" customWidth="1"/>
    <col min="12297" max="12297" width="6.54296875" style="43" customWidth="1"/>
    <col min="12298" max="12298" width="6" style="43" customWidth="1"/>
    <col min="12299" max="12299" width="8.54296875" style="43" customWidth="1"/>
    <col min="12300" max="12300" width="7.54296875" style="43" customWidth="1"/>
    <col min="12301" max="12301" width="0" style="43" hidden="1" customWidth="1"/>
    <col min="12302" max="12302" width="25.453125" style="43" customWidth="1"/>
    <col min="12303" max="12303" width="0" style="43" hidden="1" customWidth="1"/>
    <col min="12304" max="12304" width="11.54296875" style="43" customWidth="1"/>
    <col min="12305" max="12305" width="9.54296875" style="43" customWidth="1"/>
    <col min="12306" max="12306" width="7.453125" style="43" customWidth="1"/>
    <col min="12307" max="12544" width="9.453125" style="43"/>
    <col min="12545" max="12545" width="6.453125" style="43" customWidth="1"/>
    <col min="12546" max="12546" width="7" style="43" customWidth="1"/>
    <col min="12547" max="12547" width="0" style="43" hidden="1" customWidth="1"/>
    <col min="12548" max="12549" width="6.54296875" style="43" customWidth="1"/>
    <col min="12550" max="12550" width="7.54296875" style="43" customWidth="1"/>
    <col min="12551" max="12551" width="2.54296875" style="43" customWidth="1"/>
    <col min="12552" max="12552" width="1.453125" style="43" customWidth="1"/>
    <col min="12553" max="12553" width="6.54296875" style="43" customWidth="1"/>
    <col min="12554" max="12554" width="6" style="43" customWidth="1"/>
    <col min="12555" max="12555" width="8.54296875" style="43" customWidth="1"/>
    <col min="12556" max="12556" width="7.54296875" style="43" customWidth="1"/>
    <col min="12557" max="12557" width="0" style="43" hidden="1" customWidth="1"/>
    <col min="12558" max="12558" width="25.453125" style="43" customWidth="1"/>
    <col min="12559" max="12559" width="0" style="43" hidden="1" customWidth="1"/>
    <col min="12560" max="12560" width="11.54296875" style="43" customWidth="1"/>
    <col min="12561" max="12561" width="9.54296875" style="43" customWidth="1"/>
    <col min="12562" max="12562" width="7.453125" style="43" customWidth="1"/>
    <col min="12563" max="12800" width="9.453125" style="43"/>
    <col min="12801" max="12801" width="6.453125" style="43" customWidth="1"/>
    <col min="12802" max="12802" width="7" style="43" customWidth="1"/>
    <col min="12803" max="12803" width="0" style="43" hidden="1" customWidth="1"/>
    <col min="12804" max="12805" width="6.54296875" style="43" customWidth="1"/>
    <col min="12806" max="12806" width="7.54296875" style="43" customWidth="1"/>
    <col min="12807" max="12807" width="2.54296875" style="43" customWidth="1"/>
    <col min="12808" max="12808" width="1.453125" style="43" customWidth="1"/>
    <col min="12809" max="12809" width="6.54296875" style="43" customWidth="1"/>
    <col min="12810" max="12810" width="6" style="43" customWidth="1"/>
    <col min="12811" max="12811" width="8.54296875" style="43" customWidth="1"/>
    <col min="12812" max="12812" width="7.54296875" style="43" customWidth="1"/>
    <col min="12813" max="12813" width="0" style="43" hidden="1" customWidth="1"/>
    <col min="12814" max="12814" width="25.453125" style="43" customWidth="1"/>
    <col min="12815" max="12815" width="0" style="43" hidden="1" customWidth="1"/>
    <col min="12816" max="12816" width="11.54296875" style="43" customWidth="1"/>
    <col min="12817" max="12817" width="9.54296875" style="43" customWidth="1"/>
    <col min="12818" max="12818" width="7.453125" style="43" customWidth="1"/>
    <col min="12819" max="13056" width="9.453125" style="43"/>
    <col min="13057" max="13057" width="6.453125" style="43" customWidth="1"/>
    <col min="13058" max="13058" width="7" style="43" customWidth="1"/>
    <col min="13059" max="13059" width="0" style="43" hidden="1" customWidth="1"/>
    <col min="13060" max="13061" width="6.54296875" style="43" customWidth="1"/>
    <col min="13062" max="13062" width="7.54296875" style="43" customWidth="1"/>
    <col min="13063" max="13063" width="2.54296875" style="43" customWidth="1"/>
    <col min="13064" max="13064" width="1.453125" style="43" customWidth="1"/>
    <col min="13065" max="13065" width="6.54296875" style="43" customWidth="1"/>
    <col min="13066" max="13066" width="6" style="43" customWidth="1"/>
    <col min="13067" max="13067" width="8.54296875" style="43" customWidth="1"/>
    <col min="13068" max="13068" width="7.54296875" style="43" customWidth="1"/>
    <col min="13069" max="13069" width="0" style="43" hidden="1" customWidth="1"/>
    <col min="13070" max="13070" width="25.453125" style="43" customWidth="1"/>
    <col min="13071" max="13071" width="0" style="43" hidden="1" customWidth="1"/>
    <col min="13072" max="13072" width="11.54296875" style="43" customWidth="1"/>
    <col min="13073" max="13073" width="9.54296875" style="43" customWidth="1"/>
    <col min="13074" max="13074" width="7.453125" style="43" customWidth="1"/>
    <col min="13075" max="13312" width="9.453125" style="43"/>
    <col min="13313" max="13313" width="6.453125" style="43" customWidth="1"/>
    <col min="13314" max="13314" width="7" style="43" customWidth="1"/>
    <col min="13315" max="13315" width="0" style="43" hidden="1" customWidth="1"/>
    <col min="13316" max="13317" width="6.54296875" style="43" customWidth="1"/>
    <col min="13318" max="13318" width="7.54296875" style="43" customWidth="1"/>
    <col min="13319" max="13319" width="2.54296875" style="43" customWidth="1"/>
    <col min="13320" max="13320" width="1.453125" style="43" customWidth="1"/>
    <col min="13321" max="13321" width="6.54296875" style="43" customWidth="1"/>
    <col min="13322" max="13322" width="6" style="43" customWidth="1"/>
    <col min="13323" max="13323" width="8.54296875" style="43" customWidth="1"/>
    <col min="13324" max="13324" width="7.54296875" style="43" customWidth="1"/>
    <col min="13325" max="13325" width="0" style="43" hidden="1" customWidth="1"/>
    <col min="13326" max="13326" width="25.453125" style="43" customWidth="1"/>
    <col min="13327" max="13327" width="0" style="43" hidden="1" customWidth="1"/>
    <col min="13328" max="13328" width="11.54296875" style="43" customWidth="1"/>
    <col min="13329" max="13329" width="9.54296875" style="43" customWidth="1"/>
    <col min="13330" max="13330" width="7.453125" style="43" customWidth="1"/>
    <col min="13331" max="13568" width="9.453125" style="43"/>
    <col min="13569" max="13569" width="6.453125" style="43" customWidth="1"/>
    <col min="13570" max="13570" width="7" style="43" customWidth="1"/>
    <col min="13571" max="13571" width="0" style="43" hidden="1" customWidth="1"/>
    <col min="13572" max="13573" width="6.54296875" style="43" customWidth="1"/>
    <col min="13574" max="13574" width="7.54296875" style="43" customWidth="1"/>
    <col min="13575" max="13575" width="2.54296875" style="43" customWidth="1"/>
    <col min="13576" max="13576" width="1.453125" style="43" customWidth="1"/>
    <col min="13577" max="13577" width="6.54296875" style="43" customWidth="1"/>
    <col min="13578" max="13578" width="6" style="43" customWidth="1"/>
    <col min="13579" max="13579" width="8.54296875" style="43" customWidth="1"/>
    <col min="13580" max="13580" width="7.54296875" style="43" customWidth="1"/>
    <col min="13581" max="13581" width="0" style="43" hidden="1" customWidth="1"/>
    <col min="13582" max="13582" width="25.453125" style="43" customWidth="1"/>
    <col min="13583" max="13583" width="0" style="43" hidden="1" customWidth="1"/>
    <col min="13584" max="13584" width="11.54296875" style="43" customWidth="1"/>
    <col min="13585" max="13585" width="9.54296875" style="43" customWidth="1"/>
    <col min="13586" max="13586" width="7.453125" style="43" customWidth="1"/>
    <col min="13587" max="13824" width="9.453125" style="43"/>
    <col min="13825" max="13825" width="6.453125" style="43" customWidth="1"/>
    <col min="13826" max="13826" width="7" style="43" customWidth="1"/>
    <col min="13827" max="13827" width="0" style="43" hidden="1" customWidth="1"/>
    <col min="13828" max="13829" width="6.54296875" style="43" customWidth="1"/>
    <col min="13830" max="13830" width="7.54296875" style="43" customWidth="1"/>
    <col min="13831" max="13831" width="2.54296875" style="43" customWidth="1"/>
    <col min="13832" max="13832" width="1.453125" style="43" customWidth="1"/>
    <col min="13833" max="13833" width="6.54296875" style="43" customWidth="1"/>
    <col min="13834" max="13834" width="6" style="43" customWidth="1"/>
    <col min="13835" max="13835" width="8.54296875" style="43" customWidth="1"/>
    <col min="13836" max="13836" width="7.54296875" style="43" customWidth="1"/>
    <col min="13837" max="13837" width="0" style="43" hidden="1" customWidth="1"/>
    <col min="13838" max="13838" width="25.453125" style="43" customWidth="1"/>
    <col min="13839" max="13839" width="0" style="43" hidden="1" customWidth="1"/>
    <col min="13840" max="13840" width="11.54296875" style="43" customWidth="1"/>
    <col min="13841" max="13841" width="9.54296875" style="43" customWidth="1"/>
    <col min="13842" max="13842" width="7.453125" style="43" customWidth="1"/>
    <col min="13843" max="14080" width="9.453125" style="43"/>
    <col min="14081" max="14081" width="6.453125" style="43" customWidth="1"/>
    <col min="14082" max="14082" width="7" style="43" customWidth="1"/>
    <col min="14083" max="14083" width="0" style="43" hidden="1" customWidth="1"/>
    <col min="14084" max="14085" width="6.54296875" style="43" customWidth="1"/>
    <col min="14086" max="14086" width="7.54296875" style="43" customWidth="1"/>
    <col min="14087" max="14087" width="2.54296875" style="43" customWidth="1"/>
    <col min="14088" max="14088" width="1.453125" style="43" customWidth="1"/>
    <col min="14089" max="14089" width="6.54296875" style="43" customWidth="1"/>
    <col min="14090" max="14090" width="6" style="43" customWidth="1"/>
    <col min="14091" max="14091" width="8.54296875" style="43" customWidth="1"/>
    <col min="14092" max="14092" width="7.54296875" style="43" customWidth="1"/>
    <col min="14093" max="14093" width="0" style="43" hidden="1" customWidth="1"/>
    <col min="14094" max="14094" width="25.453125" style="43" customWidth="1"/>
    <col min="14095" max="14095" width="0" style="43" hidden="1" customWidth="1"/>
    <col min="14096" max="14096" width="11.54296875" style="43" customWidth="1"/>
    <col min="14097" max="14097" width="9.54296875" style="43" customWidth="1"/>
    <col min="14098" max="14098" width="7.453125" style="43" customWidth="1"/>
    <col min="14099" max="14336" width="9.453125" style="43"/>
    <col min="14337" max="14337" width="6.453125" style="43" customWidth="1"/>
    <col min="14338" max="14338" width="7" style="43" customWidth="1"/>
    <col min="14339" max="14339" width="0" style="43" hidden="1" customWidth="1"/>
    <col min="14340" max="14341" width="6.54296875" style="43" customWidth="1"/>
    <col min="14342" max="14342" width="7.54296875" style="43" customWidth="1"/>
    <col min="14343" max="14343" width="2.54296875" style="43" customWidth="1"/>
    <col min="14344" max="14344" width="1.453125" style="43" customWidth="1"/>
    <col min="14345" max="14345" width="6.54296875" style="43" customWidth="1"/>
    <col min="14346" max="14346" width="6" style="43" customWidth="1"/>
    <col min="14347" max="14347" width="8.54296875" style="43" customWidth="1"/>
    <col min="14348" max="14348" width="7.54296875" style="43" customWidth="1"/>
    <col min="14349" max="14349" width="0" style="43" hidden="1" customWidth="1"/>
    <col min="14350" max="14350" width="25.453125" style="43" customWidth="1"/>
    <col min="14351" max="14351" width="0" style="43" hidden="1" customWidth="1"/>
    <col min="14352" max="14352" width="11.54296875" style="43" customWidth="1"/>
    <col min="14353" max="14353" width="9.54296875" style="43" customWidth="1"/>
    <col min="14354" max="14354" width="7.453125" style="43" customWidth="1"/>
    <col min="14355" max="14592" width="9.453125" style="43"/>
    <col min="14593" max="14593" width="6.453125" style="43" customWidth="1"/>
    <col min="14594" max="14594" width="7" style="43" customWidth="1"/>
    <col min="14595" max="14595" width="0" style="43" hidden="1" customWidth="1"/>
    <col min="14596" max="14597" width="6.54296875" style="43" customWidth="1"/>
    <col min="14598" max="14598" width="7.54296875" style="43" customWidth="1"/>
    <col min="14599" max="14599" width="2.54296875" style="43" customWidth="1"/>
    <col min="14600" max="14600" width="1.453125" style="43" customWidth="1"/>
    <col min="14601" max="14601" width="6.54296875" style="43" customWidth="1"/>
    <col min="14602" max="14602" width="6" style="43" customWidth="1"/>
    <col min="14603" max="14603" width="8.54296875" style="43" customWidth="1"/>
    <col min="14604" max="14604" width="7.54296875" style="43" customWidth="1"/>
    <col min="14605" max="14605" width="0" style="43" hidden="1" customWidth="1"/>
    <col min="14606" max="14606" width="25.453125" style="43" customWidth="1"/>
    <col min="14607" max="14607" width="0" style="43" hidden="1" customWidth="1"/>
    <col min="14608" max="14608" width="11.54296875" style="43" customWidth="1"/>
    <col min="14609" max="14609" width="9.54296875" style="43" customWidth="1"/>
    <col min="14610" max="14610" width="7.453125" style="43" customWidth="1"/>
    <col min="14611" max="14848" width="9.453125" style="43"/>
    <col min="14849" max="14849" width="6.453125" style="43" customWidth="1"/>
    <col min="14850" max="14850" width="7" style="43" customWidth="1"/>
    <col min="14851" max="14851" width="0" style="43" hidden="1" customWidth="1"/>
    <col min="14852" max="14853" width="6.54296875" style="43" customWidth="1"/>
    <col min="14854" max="14854" width="7.54296875" style="43" customWidth="1"/>
    <col min="14855" max="14855" width="2.54296875" style="43" customWidth="1"/>
    <col min="14856" max="14856" width="1.453125" style="43" customWidth="1"/>
    <col min="14857" max="14857" width="6.54296875" style="43" customWidth="1"/>
    <col min="14858" max="14858" width="6" style="43" customWidth="1"/>
    <col min="14859" max="14859" width="8.54296875" style="43" customWidth="1"/>
    <col min="14860" max="14860" width="7.54296875" style="43" customWidth="1"/>
    <col min="14861" max="14861" width="0" style="43" hidden="1" customWidth="1"/>
    <col min="14862" max="14862" width="25.453125" style="43" customWidth="1"/>
    <col min="14863" max="14863" width="0" style="43" hidden="1" customWidth="1"/>
    <col min="14864" max="14864" width="11.54296875" style="43" customWidth="1"/>
    <col min="14865" max="14865" width="9.54296875" style="43" customWidth="1"/>
    <col min="14866" max="14866" width="7.453125" style="43" customWidth="1"/>
    <col min="14867" max="15104" width="9.453125" style="43"/>
    <col min="15105" max="15105" width="6.453125" style="43" customWidth="1"/>
    <col min="15106" max="15106" width="7" style="43" customWidth="1"/>
    <col min="15107" max="15107" width="0" style="43" hidden="1" customWidth="1"/>
    <col min="15108" max="15109" width="6.54296875" style="43" customWidth="1"/>
    <col min="15110" max="15110" width="7.54296875" style="43" customWidth="1"/>
    <col min="15111" max="15111" width="2.54296875" style="43" customWidth="1"/>
    <col min="15112" max="15112" width="1.453125" style="43" customWidth="1"/>
    <col min="15113" max="15113" width="6.54296875" style="43" customWidth="1"/>
    <col min="15114" max="15114" width="6" style="43" customWidth="1"/>
    <col min="15115" max="15115" width="8.54296875" style="43" customWidth="1"/>
    <col min="15116" max="15116" width="7.54296875" style="43" customWidth="1"/>
    <col min="15117" max="15117" width="0" style="43" hidden="1" customWidth="1"/>
    <col min="15118" max="15118" width="25.453125" style="43" customWidth="1"/>
    <col min="15119" max="15119" width="0" style="43" hidden="1" customWidth="1"/>
    <col min="15120" max="15120" width="11.54296875" style="43" customWidth="1"/>
    <col min="15121" max="15121" width="9.54296875" style="43" customWidth="1"/>
    <col min="15122" max="15122" width="7.453125" style="43" customWidth="1"/>
    <col min="15123" max="15360" width="9.453125" style="43"/>
    <col min="15361" max="15361" width="6.453125" style="43" customWidth="1"/>
    <col min="15362" max="15362" width="7" style="43" customWidth="1"/>
    <col min="15363" max="15363" width="0" style="43" hidden="1" customWidth="1"/>
    <col min="15364" max="15365" width="6.54296875" style="43" customWidth="1"/>
    <col min="15366" max="15366" width="7.54296875" style="43" customWidth="1"/>
    <col min="15367" max="15367" width="2.54296875" style="43" customWidth="1"/>
    <col min="15368" max="15368" width="1.453125" style="43" customWidth="1"/>
    <col min="15369" max="15369" width="6.54296875" style="43" customWidth="1"/>
    <col min="15370" max="15370" width="6" style="43" customWidth="1"/>
    <col min="15371" max="15371" width="8.54296875" style="43" customWidth="1"/>
    <col min="15372" max="15372" width="7.54296875" style="43" customWidth="1"/>
    <col min="15373" max="15373" width="0" style="43" hidden="1" customWidth="1"/>
    <col min="15374" max="15374" width="25.453125" style="43" customWidth="1"/>
    <col min="15375" max="15375" width="0" style="43" hidden="1" customWidth="1"/>
    <col min="15376" max="15376" width="11.54296875" style="43" customWidth="1"/>
    <col min="15377" max="15377" width="9.54296875" style="43" customWidth="1"/>
    <col min="15378" max="15378" width="7.453125" style="43" customWidth="1"/>
    <col min="15379" max="15616" width="9.453125" style="43"/>
    <col min="15617" max="15617" width="6.453125" style="43" customWidth="1"/>
    <col min="15618" max="15618" width="7" style="43" customWidth="1"/>
    <col min="15619" max="15619" width="0" style="43" hidden="1" customWidth="1"/>
    <col min="15620" max="15621" width="6.54296875" style="43" customWidth="1"/>
    <col min="15622" max="15622" width="7.54296875" style="43" customWidth="1"/>
    <col min="15623" max="15623" width="2.54296875" style="43" customWidth="1"/>
    <col min="15624" max="15624" width="1.453125" style="43" customWidth="1"/>
    <col min="15625" max="15625" width="6.54296875" style="43" customWidth="1"/>
    <col min="15626" max="15626" width="6" style="43" customWidth="1"/>
    <col min="15627" max="15627" width="8.54296875" style="43" customWidth="1"/>
    <col min="15628" max="15628" width="7.54296875" style="43" customWidth="1"/>
    <col min="15629" max="15629" width="0" style="43" hidden="1" customWidth="1"/>
    <col min="15630" max="15630" width="25.453125" style="43" customWidth="1"/>
    <col min="15631" max="15631" width="0" style="43" hidden="1" customWidth="1"/>
    <col min="15632" max="15632" width="11.54296875" style="43" customWidth="1"/>
    <col min="15633" max="15633" width="9.54296875" style="43" customWidth="1"/>
    <col min="15634" max="15634" width="7.453125" style="43" customWidth="1"/>
    <col min="15635" max="15872" width="9.453125" style="43"/>
    <col min="15873" max="15873" width="6.453125" style="43" customWidth="1"/>
    <col min="15874" max="15874" width="7" style="43" customWidth="1"/>
    <col min="15875" max="15875" width="0" style="43" hidden="1" customWidth="1"/>
    <col min="15876" max="15877" width="6.54296875" style="43" customWidth="1"/>
    <col min="15878" max="15878" width="7.54296875" style="43" customWidth="1"/>
    <col min="15879" max="15879" width="2.54296875" style="43" customWidth="1"/>
    <col min="15880" max="15880" width="1.453125" style="43" customWidth="1"/>
    <col min="15881" max="15881" width="6.54296875" style="43" customWidth="1"/>
    <col min="15882" max="15882" width="6" style="43" customWidth="1"/>
    <col min="15883" max="15883" width="8.54296875" style="43" customWidth="1"/>
    <col min="15884" max="15884" width="7.54296875" style="43" customWidth="1"/>
    <col min="15885" max="15885" width="0" style="43" hidden="1" customWidth="1"/>
    <col min="15886" max="15886" width="25.453125" style="43" customWidth="1"/>
    <col min="15887" max="15887" width="0" style="43" hidden="1" customWidth="1"/>
    <col min="15888" max="15888" width="11.54296875" style="43" customWidth="1"/>
    <col min="15889" max="15889" width="9.54296875" style="43" customWidth="1"/>
    <col min="15890" max="15890" width="7.453125" style="43" customWidth="1"/>
    <col min="15891" max="16128" width="9.453125" style="43"/>
    <col min="16129" max="16129" width="6.453125" style="43" customWidth="1"/>
    <col min="16130" max="16130" width="7" style="43" customWidth="1"/>
    <col min="16131" max="16131" width="0" style="43" hidden="1" customWidth="1"/>
    <col min="16132" max="16133" width="6.54296875" style="43" customWidth="1"/>
    <col min="16134" max="16134" width="7.54296875" style="43" customWidth="1"/>
    <col min="16135" max="16135" width="2.54296875" style="43" customWidth="1"/>
    <col min="16136" max="16136" width="1.453125" style="43" customWidth="1"/>
    <col min="16137" max="16137" width="6.54296875" style="43" customWidth="1"/>
    <col min="16138" max="16138" width="6" style="43" customWidth="1"/>
    <col min="16139" max="16139" width="8.54296875" style="43" customWidth="1"/>
    <col min="16140" max="16140" width="7.54296875" style="43" customWidth="1"/>
    <col min="16141" max="16141" width="0" style="43" hidden="1" customWidth="1"/>
    <col min="16142" max="16142" width="25.453125" style="43" customWidth="1"/>
    <col min="16143" max="16143" width="0" style="43" hidden="1" customWidth="1"/>
    <col min="16144" max="16144" width="11.54296875" style="43" customWidth="1"/>
    <col min="16145" max="16145" width="9.54296875" style="43" customWidth="1"/>
    <col min="16146" max="16146" width="7.453125" style="43" customWidth="1"/>
    <col min="16147" max="16384" width="9.453125" style="43"/>
  </cols>
  <sheetData>
    <row r="1" spans="1:18">
      <c r="A1" s="88"/>
      <c r="B1" s="89"/>
      <c r="C1" s="89"/>
      <c r="D1" s="89"/>
      <c r="E1" s="89"/>
      <c r="F1" s="90"/>
      <c r="G1" s="89"/>
      <c r="H1" s="89"/>
      <c r="I1" s="89"/>
      <c r="J1" s="89"/>
      <c r="K1" s="89"/>
      <c r="L1" s="89"/>
      <c r="M1" s="89"/>
      <c r="N1" s="89"/>
      <c r="O1" s="89"/>
      <c r="P1" s="89"/>
      <c r="Q1" s="89"/>
      <c r="R1" s="91" t="s">
        <v>129</v>
      </c>
    </row>
    <row r="2" spans="1:18" s="97" customFormat="1" ht="20">
      <c r="A2" s="92"/>
      <c r="B2" s="93"/>
      <c r="C2" s="94"/>
      <c r="D2" s="94"/>
      <c r="E2" s="94"/>
      <c r="F2" s="94"/>
      <c r="G2" s="94"/>
      <c r="H2" s="94"/>
      <c r="I2" s="95"/>
      <c r="J2" s="95"/>
      <c r="K2" s="95" t="s">
        <v>130</v>
      </c>
      <c r="L2" s="94"/>
      <c r="M2" s="94"/>
      <c r="N2" s="94"/>
      <c r="O2" s="94"/>
      <c r="P2" s="94"/>
      <c r="Q2" s="94"/>
      <c r="R2" s="96"/>
    </row>
    <row r="3" spans="1:18" ht="15.5">
      <c r="A3" s="98"/>
      <c r="B3" s="93"/>
      <c r="C3" s="93"/>
      <c r="D3" s="93"/>
      <c r="E3" s="93"/>
      <c r="F3" s="93"/>
      <c r="G3" s="99"/>
      <c r="H3" s="93"/>
      <c r="I3" s="93"/>
      <c r="J3" s="93"/>
      <c r="K3" s="93"/>
      <c r="L3" s="93"/>
      <c r="M3" s="93"/>
      <c r="N3" s="93"/>
      <c r="O3" s="93"/>
      <c r="P3" s="93"/>
      <c r="Q3" s="93"/>
      <c r="R3" s="100"/>
    </row>
    <row r="4" spans="1:18" ht="17.5">
      <c r="A4" s="98"/>
      <c r="B4" s="99"/>
      <c r="C4" s="101"/>
      <c r="D4" s="93"/>
      <c r="E4" s="99"/>
      <c r="F4" s="93"/>
      <c r="G4" s="93"/>
      <c r="H4" s="93"/>
      <c r="I4" s="102"/>
      <c r="J4" s="102" t="s">
        <v>131</v>
      </c>
      <c r="K4" s="93"/>
      <c r="L4" s="93"/>
      <c r="M4" s="93"/>
      <c r="N4" s="93"/>
      <c r="O4" s="93"/>
      <c r="P4" s="93"/>
      <c r="Q4" s="93"/>
      <c r="R4" s="103"/>
    </row>
    <row r="5" spans="1:18" ht="15.5">
      <c r="A5" s="104"/>
      <c r="B5" s="105"/>
      <c r="C5" s="106"/>
      <c r="D5" s="107"/>
      <c r="E5" s="105"/>
      <c r="F5" s="105"/>
      <c r="G5" s="105"/>
      <c r="H5" s="107"/>
      <c r="I5" s="107"/>
      <c r="J5" s="107"/>
      <c r="K5" s="107"/>
      <c r="L5" s="107"/>
      <c r="M5" s="107"/>
      <c r="N5" s="107"/>
      <c r="O5" s="107"/>
      <c r="P5" s="107"/>
      <c r="Q5" s="107"/>
      <c r="R5" s="108"/>
    </row>
    <row r="6" spans="1:18" ht="21.75" customHeight="1">
      <c r="A6" s="109" t="s">
        <v>132</v>
      </c>
      <c r="B6" s="429">
        <v>725</v>
      </c>
      <c r="C6" s="430"/>
      <c r="D6" s="430"/>
      <c r="E6" s="430"/>
      <c r="F6" s="430"/>
      <c r="G6" s="430"/>
      <c r="H6" s="431"/>
      <c r="I6" s="109" t="s">
        <v>133</v>
      </c>
      <c r="J6" s="432"/>
      <c r="K6" s="432"/>
      <c r="L6" s="109" t="s">
        <v>134</v>
      </c>
      <c r="M6" s="110"/>
      <c r="N6" s="433">
        <v>4</v>
      </c>
      <c r="O6" s="434"/>
      <c r="P6" s="111" t="s">
        <v>135</v>
      </c>
      <c r="Q6" s="435" t="s">
        <v>237</v>
      </c>
      <c r="R6" s="436"/>
    </row>
    <row r="7" spans="1:18" ht="19.5" customHeight="1">
      <c r="A7" s="112" t="s">
        <v>136</v>
      </c>
      <c r="B7" s="437"/>
      <c r="C7" s="437"/>
      <c r="D7" s="437"/>
      <c r="E7" s="113" t="s">
        <v>137</v>
      </c>
      <c r="F7" s="114">
        <v>45744</v>
      </c>
      <c r="G7" s="438" t="s">
        <v>138</v>
      </c>
      <c r="H7" s="403"/>
      <c r="I7" s="403"/>
      <c r="J7" s="439"/>
      <c r="K7" s="440"/>
      <c r="L7" s="440"/>
      <c r="M7" s="440"/>
      <c r="N7" s="440"/>
      <c r="O7" s="115"/>
      <c r="P7" s="116"/>
      <c r="Q7" s="117" t="s">
        <v>139</v>
      </c>
      <c r="R7" s="118">
        <v>3</v>
      </c>
    </row>
    <row r="8" spans="1:18" ht="18.75" customHeight="1">
      <c r="A8" s="109" t="s">
        <v>140</v>
      </c>
      <c r="B8" s="418">
        <v>45723</v>
      </c>
      <c r="C8" s="418"/>
      <c r="D8" s="418"/>
      <c r="E8" s="419"/>
      <c r="F8" s="109" t="s">
        <v>141</v>
      </c>
      <c r="G8" s="110"/>
      <c r="H8" s="110"/>
      <c r="I8" s="420">
        <v>21</v>
      </c>
      <c r="J8" s="420"/>
      <c r="K8" s="420"/>
      <c r="L8" s="420"/>
      <c r="M8" s="420"/>
      <c r="N8" s="420"/>
      <c r="O8" s="420"/>
      <c r="P8" s="420"/>
      <c r="Q8" s="110"/>
      <c r="R8" s="119"/>
    </row>
    <row r="9" spans="1:18" ht="18" customHeight="1">
      <c r="A9" s="120" t="s">
        <v>142</v>
      </c>
      <c r="B9" s="110"/>
      <c r="C9" s="110"/>
      <c r="D9" s="121"/>
      <c r="E9" s="421"/>
      <c r="F9" s="422"/>
      <c r="G9" s="422"/>
      <c r="H9" s="422"/>
      <c r="I9" s="422"/>
      <c r="J9" s="422"/>
      <c r="K9" s="110"/>
      <c r="L9" s="122" t="s">
        <v>64</v>
      </c>
      <c r="M9" s="122"/>
      <c r="N9" s="239"/>
      <c r="O9" s="110"/>
      <c r="P9" s="111" t="s">
        <v>143</v>
      </c>
      <c r="Q9" s="207" t="s">
        <v>243</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23" t="s">
        <v>148</v>
      </c>
      <c r="R10" s="424"/>
    </row>
    <row r="11" spans="1:18" ht="20.25" customHeight="1">
      <c r="A11" s="125"/>
      <c r="B11" s="126"/>
      <c r="C11" s="127"/>
      <c r="D11" s="128" t="s">
        <v>149</v>
      </c>
      <c r="E11" s="128">
        <v>10</v>
      </c>
      <c r="F11" s="425" t="s">
        <v>150</v>
      </c>
      <c r="G11" s="426"/>
      <c r="H11" s="426"/>
      <c r="I11" s="426"/>
      <c r="J11" s="426"/>
      <c r="K11" s="426"/>
      <c r="L11" s="426"/>
      <c r="M11" s="426"/>
      <c r="N11" s="427"/>
      <c r="O11" s="129"/>
      <c r="P11" s="130"/>
      <c r="Q11" s="125"/>
      <c r="R11" s="131"/>
    </row>
    <row r="12" spans="1:18" ht="20.25" customHeight="1">
      <c r="A12" s="132"/>
      <c r="B12" s="133"/>
      <c r="C12" s="127"/>
      <c r="D12" s="134" t="s">
        <v>92</v>
      </c>
      <c r="E12" s="134">
        <v>20</v>
      </c>
      <c r="F12" s="428" t="s">
        <v>151</v>
      </c>
      <c r="G12" s="428"/>
      <c r="H12" s="428"/>
      <c r="I12" s="428"/>
      <c r="J12" s="428"/>
      <c r="K12" s="428"/>
      <c r="L12" s="428"/>
      <c r="M12" s="428"/>
      <c r="N12" s="428"/>
      <c r="O12" s="135"/>
      <c r="P12" s="135"/>
      <c r="Q12" s="132"/>
      <c r="R12" s="136"/>
    </row>
    <row r="13" spans="1:18" ht="20.25" customHeight="1">
      <c r="A13" s="132" t="s">
        <v>152</v>
      </c>
      <c r="B13" s="133"/>
      <c r="C13" s="127"/>
      <c r="D13" s="134" t="s">
        <v>153</v>
      </c>
      <c r="E13" s="134">
        <v>30</v>
      </c>
      <c r="F13" s="428" t="s">
        <v>154</v>
      </c>
      <c r="G13" s="428"/>
      <c r="H13" s="428"/>
      <c r="I13" s="428"/>
      <c r="J13" s="428"/>
      <c r="K13" s="428"/>
      <c r="L13" s="428"/>
      <c r="M13" s="428"/>
      <c r="N13" s="428"/>
      <c r="O13" s="135"/>
      <c r="P13" s="135"/>
      <c r="Q13" s="132"/>
      <c r="R13" s="136"/>
    </row>
    <row r="14" spans="1:18" ht="20.25" customHeight="1">
      <c r="A14" s="132"/>
      <c r="B14" s="133"/>
      <c r="C14" s="127"/>
      <c r="D14" s="134" t="s">
        <v>149</v>
      </c>
      <c r="E14" s="134">
        <v>40</v>
      </c>
      <c r="F14" s="428" t="s">
        <v>155</v>
      </c>
      <c r="G14" s="428"/>
      <c r="H14" s="428"/>
      <c r="I14" s="428"/>
      <c r="J14" s="428"/>
      <c r="K14" s="428"/>
      <c r="L14" s="428"/>
      <c r="M14" s="428"/>
      <c r="N14" s="428"/>
      <c r="O14" s="135"/>
      <c r="P14" s="135"/>
      <c r="Q14" s="132"/>
      <c r="R14" s="136"/>
    </row>
    <row r="15" spans="1:18" ht="20.25" customHeight="1">
      <c r="A15" s="132"/>
      <c r="B15" s="133"/>
      <c r="C15" s="127"/>
      <c r="D15" s="137"/>
      <c r="E15" s="137"/>
      <c r="F15" s="415"/>
      <c r="G15" s="415"/>
      <c r="H15" s="415"/>
      <c r="I15" s="415"/>
      <c r="J15" s="415"/>
      <c r="K15" s="415"/>
      <c r="L15" s="415"/>
      <c r="M15" s="415"/>
      <c r="N15" s="415"/>
      <c r="O15" s="135"/>
      <c r="P15" s="135"/>
      <c r="Q15" s="132"/>
      <c r="R15" s="136"/>
    </row>
    <row r="16" spans="1:18" ht="20.25" customHeight="1">
      <c r="A16" s="132"/>
      <c r="B16" s="133"/>
      <c r="C16" s="127"/>
      <c r="D16" s="137"/>
      <c r="E16" s="137"/>
      <c r="F16" s="415"/>
      <c r="G16" s="415"/>
      <c r="H16" s="415"/>
      <c r="I16" s="415"/>
      <c r="J16" s="415"/>
      <c r="K16" s="415"/>
      <c r="L16" s="415"/>
      <c r="M16" s="415"/>
      <c r="N16" s="415"/>
      <c r="O16" s="135"/>
      <c r="P16" s="135"/>
      <c r="Q16" s="132"/>
      <c r="R16" s="136"/>
    </row>
    <row r="17" spans="1:18" ht="20.25" customHeight="1">
      <c r="A17" s="132"/>
      <c r="B17" s="133"/>
      <c r="C17" s="127"/>
      <c r="D17" s="137"/>
      <c r="E17" s="137"/>
      <c r="F17" s="415"/>
      <c r="G17" s="415"/>
      <c r="H17" s="415"/>
      <c r="I17" s="415"/>
      <c r="J17" s="415"/>
      <c r="K17" s="415"/>
      <c r="L17" s="415"/>
      <c r="M17" s="415"/>
      <c r="N17" s="415"/>
      <c r="O17" s="135"/>
      <c r="P17" s="135"/>
      <c r="Q17" s="132"/>
      <c r="R17" s="136"/>
    </row>
    <row r="18" spans="1:18" ht="20.25" customHeight="1">
      <c r="A18" s="132"/>
      <c r="B18" s="133"/>
      <c r="C18" s="127"/>
      <c r="D18" s="137"/>
      <c r="E18" s="137"/>
      <c r="F18" s="415"/>
      <c r="G18" s="415"/>
      <c r="H18" s="415"/>
      <c r="I18" s="415"/>
      <c r="J18" s="415"/>
      <c r="K18" s="415"/>
      <c r="L18" s="415"/>
      <c r="M18" s="415"/>
      <c r="N18" s="415"/>
      <c r="O18" s="135"/>
      <c r="P18" s="135"/>
      <c r="Q18" s="132"/>
      <c r="R18" s="136"/>
    </row>
    <row r="19" spans="1:18" ht="20.25" customHeight="1">
      <c r="A19" s="132"/>
      <c r="B19" s="133"/>
      <c r="C19" s="127"/>
      <c r="D19" s="137"/>
      <c r="E19" s="137"/>
      <c r="F19" s="415"/>
      <c r="G19" s="415"/>
      <c r="H19" s="415"/>
      <c r="I19" s="415"/>
      <c r="J19" s="415"/>
      <c r="K19" s="415"/>
      <c r="L19" s="415"/>
      <c r="M19" s="415"/>
      <c r="N19" s="415"/>
      <c r="O19" s="135"/>
      <c r="P19" s="135"/>
      <c r="Q19" s="132"/>
      <c r="R19" s="136"/>
    </row>
    <row r="20" spans="1:18" ht="20.25" customHeight="1">
      <c r="A20" s="132"/>
      <c r="B20" s="133"/>
      <c r="C20" s="127"/>
      <c r="D20" s="138"/>
      <c r="E20" s="138"/>
      <c r="F20" s="410"/>
      <c r="G20" s="411"/>
      <c r="H20" s="411"/>
      <c r="I20" s="411"/>
      <c r="J20" s="411"/>
      <c r="K20" s="411"/>
      <c r="L20" s="411"/>
      <c r="M20" s="411"/>
      <c r="N20" s="411"/>
      <c r="O20" s="135"/>
      <c r="P20" s="135"/>
      <c r="Q20" s="132"/>
      <c r="R20" s="136"/>
    </row>
    <row r="21" spans="1:18" ht="20.25" customHeight="1">
      <c r="A21" s="132"/>
      <c r="B21" s="133"/>
      <c r="C21" s="127"/>
      <c r="D21" s="138"/>
      <c r="E21" s="138"/>
      <c r="F21" s="410"/>
      <c r="G21" s="411"/>
      <c r="H21" s="411"/>
      <c r="I21" s="411"/>
      <c r="J21" s="411"/>
      <c r="K21" s="411"/>
      <c r="L21" s="411"/>
      <c r="M21" s="411"/>
      <c r="N21" s="411"/>
      <c r="O21" s="135"/>
      <c r="P21" s="135"/>
      <c r="Q21" s="132"/>
      <c r="R21" s="136"/>
    </row>
    <row r="22" spans="1:18" ht="20.25" customHeight="1">
      <c r="A22" s="132"/>
      <c r="B22" s="133"/>
      <c r="C22" s="127"/>
      <c r="D22" s="138"/>
      <c r="E22" s="138"/>
      <c r="F22" s="410"/>
      <c r="G22" s="411"/>
      <c r="H22" s="411"/>
      <c r="I22" s="411"/>
      <c r="J22" s="411"/>
      <c r="K22" s="411"/>
      <c r="L22" s="411"/>
      <c r="M22" s="411"/>
      <c r="N22" s="411"/>
      <c r="O22" s="135"/>
      <c r="P22" s="135"/>
      <c r="Q22" s="132"/>
      <c r="R22" s="136"/>
    </row>
    <row r="23" spans="1:18" ht="20.25" customHeight="1">
      <c r="A23" s="132"/>
      <c r="B23" s="133"/>
      <c r="C23" s="127"/>
      <c r="D23" s="138"/>
      <c r="E23" s="138"/>
      <c r="F23" s="410"/>
      <c r="G23" s="411"/>
      <c r="H23" s="411"/>
      <c r="I23" s="411"/>
      <c r="J23" s="411"/>
      <c r="K23" s="411"/>
      <c r="L23" s="411"/>
      <c r="M23" s="411"/>
      <c r="N23" s="411"/>
      <c r="O23" s="135"/>
      <c r="P23" s="135"/>
      <c r="Q23" s="132"/>
      <c r="R23" s="136"/>
    </row>
    <row r="24" spans="1:18" ht="20.25" customHeight="1">
      <c r="A24" s="132"/>
      <c r="B24" s="133"/>
      <c r="C24" s="127"/>
      <c r="D24" s="138"/>
      <c r="E24" s="138"/>
      <c r="F24" s="410"/>
      <c r="G24" s="411"/>
      <c r="H24" s="411"/>
      <c r="I24" s="411"/>
      <c r="J24" s="411"/>
      <c r="K24" s="411"/>
      <c r="L24" s="411"/>
      <c r="M24" s="411"/>
      <c r="N24" s="411"/>
      <c r="O24" s="135"/>
      <c r="P24" s="135"/>
      <c r="Q24" s="132"/>
      <c r="R24" s="136"/>
    </row>
    <row r="25" spans="1:18" ht="20.25" customHeight="1">
      <c r="A25" s="132"/>
      <c r="B25" s="133"/>
      <c r="C25" s="127"/>
      <c r="D25" s="138"/>
      <c r="E25" s="138"/>
      <c r="F25" s="410"/>
      <c r="G25" s="410"/>
      <c r="H25" s="410"/>
      <c r="I25" s="410"/>
      <c r="J25" s="410"/>
      <c r="K25" s="410"/>
      <c r="L25" s="410"/>
      <c r="M25" s="410"/>
      <c r="N25" s="410"/>
      <c r="O25" s="135"/>
      <c r="P25" s="135"/>
      <c r="Q25" s="132"/>
      <c r="R25" s="136"/>
    </row>
    <row r="26" spans="1:18" ht="20.25" customHeight="1">
      <c r="A26" s="132"/>
      <c r="B26" s="133"/>
      <c r="C26" s="127"/>
      <c r="D26" s="138"/>
      <c r="E26" s="138"/>
      <c r="F26" s="412"/>
      <c r="G26" s="416"/>
      <c r="H26" s="416"/>
      <c r="I26" s="416"/>
      <c r="J26" s="416"/>
      <c r="K26" s="416"/>
      <c r="L26" s="416"/>
      <c r="M26" s="416"/>
      <c r="N26" s="417"/>
      <c r="O26" s="135"/>
      <c r="P26" s="135"/>
      <c r="Q26" s="132"/>
      <c r="R26" s="136"/>
    </row>
    <row r="27" spans="1:18" ht="20.25" customHeight="1">
      <c r="A27" s="132"/>
      <c r="B27" s="133"/>
      <c r="C27" s="127"/>
      <c r="D27" s="135"/>
      <c r="E27" s="135"/>
      <c r="F27" s="412"/>
      <c r="G27" s="416"/>
      <c r="H27" s="416"/>
      <c r="I27" s="416"/>
      <c r="J27" s="416"/>
      <c r="K27" s="416"/>
      <c r="L27" s="416"/>
      <c r="M27" s="416"/>
      <c r="N27" s="417"/>
      <c r="O27" s="135"/>
      <c r="P27" s="135"/>
      <c r="Q27" s="132"/>
      <c r="R27" s="136"/>
    </row>
    <row r="28" spans="1:18" ht="20.25" customHeight="1">
      <c r="A28" s="132"/>
      <c r="B28" s="133"/>
      <c r="C28" s="127"/>
      <c r="D28" s="135"/>
      <c r="E28" s="135"/>
      <c r="F28" s="412"/>
      <c r="G28" s="416"/>
      <c r="H28" s="416"/>
      <c r="I28" s="416"/>
      <c r="J28" s="416"/>
      <c r="K28" s="416"/>
      <c r="L28" s="416"/>
      <c r="M28" s="416"/>
      <c r="N28" s="417"/>
      <c r="O28" s="135"/>
      <c r="P28" s="135"/>
      <c r="Q28" s="132"/>
      <c r="R28" s="136"/>
    </row>
    <row r="29" spans="1:18" ht="20.25" customHeight="1">
      <c r="A29" s="132"/>
      <c r="B29" s="133"/>
      <c r="C29" s="127"/>
      <c r="D29" s="135"/>
      <c r="E29" s="135"/>
      <c r="F29" s="410"/>
      <c r="G29" s="411"/>
      <c r="H29" s="411"/>
      <c r="I29" s="411"/>
      <c r="J29" s="411"/>
      <c r="K29" s="411"/>
      <c r="L29" s="411"/>
      <c r="M29" s="411"/>
      <c r="N29" s="411"/>
      <c r="O29" s="135"/>
      <c r="P29" s="135"/>
      <c r="Q29" s="132"/>
      <c r="R29" s="136"/>
    </row>
    <row r="30" spans="1:18" ht="20.25" customHeight="1">
      <c r="A30" s="132"/>
      <c r="B30" s="133"/>
      <c r="C30" s="127"/>
      <c r="D30" s="135"/>
      <c r="E30" s="135"/>
      <c r="F30" s="410"/>
      <c r="G30" s="411"/>
      <c r="H30" s="411"/>
      <c r="I30" s="411"/>
      <c r="J30" s="411"/>
      <c r="K30" s="411"/>
      <c r="L30" s="411"/>
      <c r="M30" s="411"/>
      <c r="N30" s="411"/>
      <c r="O30" s="135"/>
      <c r="P30" s="135"/>
      <c r="Q30" s="132"/>
      <c r="R30" s="136"/>
    </row>
    <row r="31" spans="1:18" ht="20.25" customHeight="1">
      <c r="A31" s="132"/>
      <c r="B31" s="133"/>
      <c r="C31" s="127"/>
      <c r="D31" s="135"/>
      <c r="E31" s="135"/>
      <c r="F31" s="410"/>
      <c r="G31" s="411"/>
      <c r="H31" s="411"/>
      <c r="I31" s="411"/>
      <c r="J31" s="411"/>
      <c r="K31" s="411"/>
      <c r="L31" s="411"/>
      <c r="M31" s="411"/>
      <c r="N31" s="411"/>
      <c r="O31" s="135"/>
      <c r="P31" s="135"/>
      <c r="Q31" s="132"/>
      <c r="R31" s="136"/>
    </row>
    <row r="32" spans="1:18" ht="20.25" customHeight="1">
      <c r="A32" s="132"/>
      <c r="B32" s="133"/>
      <c r="C32" s="127"/>
      <c r="D32" s="135"/>
      <c r="E32" s="135"/>
      <c r="F32" s="410"/>
      <c r="G32" s="411"/>
      <c r="H32" s="411"/>
      <c r="I32" s="411"/>
      <c r="J32" s="411"/>
      <c r="K32" s="411"/>
      <c r="L32" s="411"/>
      <c r="M32" s="411"/>
      <c r="N32" s="411"/>
      <c r="O32" s="135"/>
      <c r="P32" s="135"/>
      <c r="Q32" s="132"/>
      <c r="R32" s="136"/>
    </row>
    <row r="33" spans="1:18" ht="19.5" customHeight="1">
      <c r="A33" s="132"/>
      <c r="B33" s="133"/>
      <c r="C33" s="127"/>
      <c r="D33" s="135"/>
      <c r="E33" s="135"/>
      <c r="F33" s="410"/>
      <c r="G33" s="411"/>
      <c r="H33" s="411"/>
      <c r="I33" s="411"/>
      <c r="J33" s="411"/>
      <c r="K33" s="411"/>
      <c r="L33" s="411"/>
      <c r="M33" s="411"/>
      <c r="N33" s="411"/>
      <c r="O33" s="135"/>
      <c r="P33" s="135"/>
      <c r="Q33" s="132"/>
      <c r="R33" s="136"/>
    </row>
    <row r="34" spans="1:18" ht="20.25" customHeight="1">
      <c r="A34" s="132"/>
      <c r="B34" s="133"/>
      <c r="C34" s="127"/>
      <c r="D34" s="135"/>
      <c r="E34" s="135"/>
      <c r="F34" s="410"/>
      <c r="G34" s="411"/>
      <c r="H34" s="411"/>
      <c r="I34" s="411"/>
      <c r="J34" s="411"/>
      <c r="K34" s="411"/>
      <c r="L34" s="411"/>
      <c r="M34" s="411"/>
      <c r="N34" s="411"/>
      <c r="O34" s="135"/>
      <c r="P34" s="135"/>
      <c r="Q34" s="132"/>
      <c r="R34" s="136"/>
    </row>
    <row r="35" spans="1:18" ht="20.25" customHeight="1">
      <c r="A35" s="132"/>
      <c r="B35" s="133"/>
      <c r="C35" s="127"/>
      <c r="D35" s="135"/>
      <c r="E35" s="135"/>
      <c r="F35" s="410"/>
      <c r="G35" s="411"/>
      <c r="H35" s="411"/>
      <c r="I35" s="411"/>
      <c r="J35" s="411"/>
      <c r="K35" s="411"/>
      <c r="L35" s="411"/>
      <c r="M35" s="411"/>
      <c r="N35" s="411"/>
      <c r="O35" s="135"/>
      <c r="P35" s="135"/>
      <c r="Q35" s="132"/>
      <c r="R35" s="136"/>
    </row>
    <row r="36" spans="1:18" ht="20.25" customHeight="1">
      <c r="A36" s="132"/>
      <c r="B36" s="133"/>
      <c r="C36" s="127"/>
      <c r="D36" s="135"/>
      <c r="E36" s="135"/>
      <c r="F36" s="412"/>
      <c r="G36" s="413"/>
      <c r="H36" s="413"/>
      <c r="I36" s="413"/>
      <c r="J36" s="413"/>
      <c r="K36" s="413"/>
      <c r="L36" s="413"/>
      <c r="M36" s="413"/>
      <c r="N36" s="414"/>
      <c r="O36" s="135"/>
      <c r="P36" s="135"/>
      <c r="Q36" s="132"/>
      <c r="R36" s="136"/>
    </row>
    <row r="37" spans="1:18" ht="20.25" customHeight="1">
      <c r="A37" s="132"/>
      <c r="B37" s="133"/>
      <c r="C37" s="127"/>
      <c r="D37" s="135"/>
      <c r="E37" s="135"/>
      <c r="F37" s="412"/>
      <c r="G37" s="413"/>
      <c r="H37" s="413"/>
      <c r="I37" s="413"/>
      <c r="J37" s="413"/>
      <c r="K37" s="413"/>
      <c r="L37" s="413"/>
      <c r="M37" s="413"/>
      <c r="N37" s="414"/>
      <c r="O37" s="135"/>
      <c r="P37" s="135"/>
      <c r="Q37" s="132"/>
      <c r="R37" s="136"/>
    </row>
    <row r="38" spans="1:18" ht="20.25" customHeight="1">
      <c r="A38" s="132"/>
      <c r="B38" s="133"/>
      <c r="C38" s="127"/>
      <c r="D38" s="135"/>
      <c r="E38" s="135"/>
      <c r="F38" s="412"/>
      <c r="G38" s="413"/>
      <c r="H38" s="413"/>
      <c r="I38" s="413"/>
      <c r="J38" s="413"/>
      <c r="K38" s="413"/>
      <c r="L38" s="413"/>
      <c r="M38" s="413"/>
      <c r="N38" s="414"/>
      <c r="O38" s="135"/>
      <c r="P38" s="135"/>
      <c r="Q38" s="132"/>
      <c r="R38" s="136"/>
    </row>
    <row r="39" spans="1:18" ht="20.25" customHeight="1">
      <c r="A39" s="132"/>
      <c r="B39" s="133"/>
      <c r="C39" s="127"/>
      <c r="D39" s="135"/>
      <c r="E39" s="135"/>
      <c r="F39" s="412"/>
      <c r="G39" s="413"/>
      <c r="H39" s="413"/>
      <c r="I39" s="413"/>
      <c r="J39" s="413"/>
      <c r="K39" s="413"/>
      <c r="L39" s="413"/>
      <c r="M39" s="413"/>
      <c r="N39" s="414"/>
      <c r="O39" s="135"/>
      <c r="P39" s="135"/>
      <c r="Q39" s="132"/>
      <c r="R39" s="136"/>
    </row>
    <row r="40" spans="1:18" ht="20.25" customHeight="1">
      <c r="A40" s="132"/>
      <c r="B40" s="133"/>
      <c r="C40" s="127"/>
      <c r="D40" s="135"/>
      <c r="E40" s="135"/>
      <c r="F40" s="412"/>
      <c r="G40" s="413"/>
      <c r="H40" s="413"/>
      <c r="I40" s="413"/>
      <c r="J40" s="413"/>
      <c r="K40" s="413"/>
      <c r="L40" s="413"/>
      <c r="M40" s="413"/>
      <c r="N40" s="414"/>
      <c r="O40" s="135"/>
      <c r="P40" s="135"/>
      <c r="Q40" s="132"/>
      <c r="R40" s="136"/>
    </row>
    <row r="41" spans="1:18" ht="20.25" customHeight="1">
      <c r="A41" s="132"/>
      <c r="B41" s="133"/>
      <c r="C41" s="127"/>
      <c r="D41" s="135"/>
      <c r="E41" s="135"/>
      <c r="F41" s="410"/>
      <c r="G41" s="411"/>
      <c r="H41" s="411"/>
      <c r="I41" s="411"/>
      <c r="J41" s="411"/>
      <c r="K41" s="411"/>
      <c r="L41" s="411"/>
      <c r="M41" s="411"/>
      <c r="N41" s="411"/>
      <c r="O41" s="135"/>
      <c r="P41" s="135"/>
      <c r="Q41" s="132"/>
      <c r="R41" s="136"/>
    </row>
    <row r="42" spans="1:18" ht="20.25" customHeight="1">
      <c r="A42" s="139"/>
      <c r="B42" s="140"/>
      <c r="C42" s="127"/>
      <c r="D42" s="141"/>
      <c r="E42" s="141"/>
      <c r="F42" s="407"/>
      <c r="G42" s="408"/>
      <c r="H42" s="408"/>
      <c r="I42" s="408"/>
      <c r="J42" s="408"/>
      <c r="K42" s="408"/>
      <c r="L42" s="408"/>
      <c r="M42" s="408"/>
      <c r="N42" s="409"/>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02" t="s">
        <v>157</v>
      </c>
      <c r="B48" s="403"/>
      <c r="C48" s="403"/>
      <c r="D48" s="403"/>
      <c r="E48" s="403"/>
      <c r="F48" s="403"/>
      <c r="G48" s="404"/>
      <c r="H48" s="402" t="s">
        <v>162</v>
      </c>
      <c r="I48" s="403"/>
      <c r="J48" s="403"/>
      <c r="K48" s="404"/>
      <c r="L48" s="402" t="s">
        <v>158</v>
      </c>
      <c r="M48" s="403"/>
      <c r="N48" s="404"/>
      <c r="P48" s="403" t="s">
        <v>162</v>
      </c>
      <c r="Q48" s="403"/>
      <c r="R48" s="116"/>
    </row>
    <row r="49" spans="1:18">
      <c r="A49" s="152"/>
      <c r="B49" s="113"/>
      <c r="C49" s="113"/>
      <c r="D49" s="405" t="s">
        <v>159</v>
      </c>
      <c r="E49" s="405"/>
      <c r="F49" s="405"/>
      <c r="G49" s="406"/>
      <c r="H49" s="113"/>
      <c r="I49" s="113"/>
      <c r="J49" s="113"/>
      <c r="K49" s="113"/>
      <c r="L49" s="152"/>
      <c r="M49" s="113"/>
      <c r="N49" s="79"/>
      <c r="O49" s="113"/>
      <c r="P49" s="113"/>
      <c r="Q49" s="113"/>
      <c r="R49" s="79"/>
    </row>
    <row r="51" spans="1:18" ht="14">
      <c r="A51" s="153" t="s">
        <v>160</v>
      </c>
    </row>
    <row r="52" spans="1:18" ht="14">
      <c r="A52" s="153" t="s">
        <v>161</v>
      </c>
    </row>
  </sheetData>
  <customSheetViews>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3"/>
      <headerFooter alignWithMargins="0"/>
    </customSheetView>
  </customSheetViews>
  <mergeCells count="48">
    <mergeCell ref="B6:H6"/>
    <mergeCell ref="J6:K6"/>
    <mergeCell ref="N6:O6"/>
    <mergeCell ref="Q6:R6"/>
    <mergeCell ref="B7:D7"/>
    <mergeCell ref="G7:I7"/>
    <mergeCell ref="J7:N7"/>
    <mergeCell ref="F18:N18"/>
    <mergeCell ref="B8:E8"/>
    <mergeCell ref="I8:P8"/>
    <mergeCell ref="E9:J9"/>
    <mergeCell ref="Q10:R10"/>
    <mergeCell ref="F11:N11"/>
    <mergeCell ref="F12:N12"/>
    <mergeCell ref="F13:N13"/>
    <mergeCell ref="F14:N14"/>
    <mergeCell ref="F15:N15"/>
    <mergeCell ref="F16:N16"/>
    <mergeCell ref="F17:N17"/>
    <mergeCell ref="F30:N30"/>
    <mergeCell ref="F19:N19"/>
    <mergeCell ref="F20:N20"/>
    <mergeCell ref="F21:N21"/>
    <mergeCell ref="F22:N22"/>
    <mergeCell ref="F23:N23"/>
    <mergeCell ref="F24:N24"/>
    <mergeCell ref="F25:N25"/>
    <mergeCell ref="F26:N26"/>
    <mergeCell ref="F27:N27"/>
    <mergeCell ref="F28:N28"/>
    <mergeCell ref="F29:N29"/>
    <mergeCell ref="F42:N42"/>
    <mergeCell ref="F31:N31"/>
    <mergeCell ref="F32:N32"/>
    <mergeCell ref="F33:N33"/>
    <mergeCell ref="F34:N34"/>
    <mergeCell ref="F35:N35"/>
    <mergeCell ref="F36:N36"/>
    <mergeCell ref="F37:N37"/>
    <mergeCell ref="F38:N38"/>
    <mergeCell ref="F39:N39"/>
    <mergeCell ref="F40:N40"/>
    <mergeCell ref="F41:N41"/>
    <mergeCell ref="A48:G48"/>
    <mergeCell ref="H48:K48"/>
    <mergeCell ref="L48:N48"/>
    <mergeCell ref="P48:Q48"/>
    <mergeCell ref="D49:G49"/>
  </mergeCells>
  <phoneticPr fontId="91" type="noConversion"/>
  <pageMargins left="0.7" right="0.5" top="0.75" bottom="0.75" header="0.3" footer="0.3"/>
  <pageSetup scale="71"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5"/>
  <cols>
    <col min="1" max="1" width="11.54296875" customWidth="1"/>
    <col min="2" max="2" width="14.453125" customWidth="1"/>
    <col min="3" max="3" width="8.453125" customWidth="1"/>
    <col min="4" max="4" width="36.453125" customWidth="1"/>
    <col min="5" max="5" width="40.54296875" customWidth="1"/>
    <col min="6" max="6" width="14.54296875" customWidth="1"/>
  </cols>
  <sheetData>
    <row r="1" spans="1:6" ht="13.5">
      <c r="A1" s="155" t="s">
        <v>8</v>
      </c>
      <c r="B1" s="158" t="s">
        <v>9</v>
      </c>
      <c r="C1" s="157" t="s">
        <v>10</v>
      </c>
      <c r="D1" s="158" t="s">
        <v>11</v>
      </c>
      <c r="E1" s="158" t="s">
        <v>12</v>
      </c>
      <c r="F1" s="160" t="s">
        <v>21</v>
      </c>
    </row>
    <row r="2" spans="1:6" ht="13.5">
      <c r="A2" s="166">
        <v>64125</v>
      </c>
      <c r="B2" s="169" t="s">
        <v>47</v>
      </c>
      <c r="C2" s="167">
        <v>1</v>
      </c>
      <c r="D2" s="169" t="s">
        <v>177</v>
      </c>
      <c r="E2" s="169" t="s">
        <v>176</v>
      </c>
      <c r="F2" s="170"/>
    </row>
    <row r="3" spans="1:6" ht="13.5">
      <c r="A3" s="164">
        <v>64260</v>
      </c>
      <c r="B3" s="159" t="s">
        <v>7</v>
      </c>
      <c r="C3" s="156" t="s">
        <v>172</v>
      </c>
      <c r="D3" s="159" t="s">
        <v>178</v>
      </c>
      <c r="E3" s="159" t="s">
        <v>179</v>
      </c>
      <c r="F3" s="161"/>
    </row>
    <row r="4" spans="1:6" ht="13.5">
      <c r="A4" s="164">
        <v>64111</v>
      </c>
      <c r="B4" s="159" t="s">
        <v>33</v>
      </c>
      <c r="C4" s="156">
        <v>1</v>
      </c>
      <c r="D4" s="159" t="s">
        <v>173</v>
      </c>
      <c r="E4" s="159" t="s">
        <v>174</v>
      </c>
      <c r="F4" s="161" t="s">
        <v>175</v>
      </c>
    </row>
    <row r="5" spans="1:6" ht="13.5">
      <c r="A5" s="164">
        <v>64418</v>
      </c>
      <c r="B5" s="159"/>
      <c r="C5" s="156"/>
      <c r="D5" s="159"/>
      <c r="E5" s="159"/>
      <c r="F5" s="161"/>
    </row>
  </sheetData>
  <autoFilter ref="A1:F5" xr:uid="{00000000-0009-0000-0000-000006000000}">
    <sortState xmlns:xlrd2="http://schemas.microsoft.com/office/spreadsheetml/2017/richdata2" ref="A2:F5">
      <sortCondition ref="B1:B700"/>
    </sortState>
  </autoFilter>
  <customSheetViews>
    <customSheetView guid="{2383B994-5DA1-4BB7-BA01-728624653006}" showAutoFilter="1">
      <pageMargins left="0.7" right="0.7" top="0.75" bottom="0.75" header="0.3" footer="0.3"/>
      <pageSetup paperSize="17" orientation="portrait" horizontalDpi="4294967295" verticalDpi="4294967295" r:id="rId1"/>
      <autoFilter ref="A1:F5" xr:uid="{3BD38319-0811-4B96-98FD-4AB9A7C3C940}">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7FC82742-8D06-4623-A0EC-E386EC8087A9}">
        <sortState xmlns:xlrd2="http://schemas.microsoft.com/office/spreadsheetml/2017/richdata2" ref="A2:F5">
          <sortCondition ref="B1:B700"/>
        </sortState>
      </autoFilter>
    </customSheetView>
    <customSheetView guid="{FFA6C093-E866-4B92-9807-8D478A2763D4}" showAutoFilter="1">
      <pageMargins left="0.7" right="0.7" top="0.75" bottom="0.75" header="0.3" footer="0.3"/>
      <pageSetup paperSize="17" orientation="portrait" horizontalDpi="4294967295" verticalDpi="4294967295" r:id="rId3"/>
      <autoFilter ref="A1:F5" xr:uid="{9BEF527F-BD17-409E-A2C8-A22013EB9CDF}">
        <sortState xmlns:xlrd2="http://schemas.microsoft.com/office/spreadsheetml/2017/richdata2" ref="A2:F5">
          <sortCondition ref="B1:B700"/>
        </sortState>
      </autoFilter>
    </customSheetView>
  </customSheetViews>
  <phoneticPr fontId="91"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53125" defaultRowHeight="15"/>
  <cols>
    <col min="1" max="1" width="10.453125" style="219" customWidth="1"/>
    <col min="2" max="2" width="9.453125" style="220" customWidth="1"/>
    <col min="3" max="3" width="12.453125" style="221" customWidth="1"/>
    <col min="4" max="4" width="5" style="219" customWidth="1"/>
    <col min="5" max="5" width="33.54296875" style="221" customWidth="1"/>
    <col min="6" max="6" width="5" style="219" customWidth="1"/>
    <col min="7" max="7" width="11.453125" style="222" customWidth="1"/>
    <col min="8" max="8" width="11.453125" style="219" customWidth="1"/>
    <col min="9" max="9" width="55.54296875" style="221" customWidth="1"/>
    <col min="10" max="10" width="15.453125" style="219" customWidth="1"/>
    <col min="11" max="11" width="12.54296875" style="222" customWidth="1"/>
    <col min="12" max="12" width="59.453125" style="260" customWidth="1"/>
    <col min="13" max="13" width="21.453125" style="261" customWidth="1"/>
    <col min="14" max="16384" width="9.453125" style="223"/>
  </cols>
  <sheetData>
    <row r="1" spans="1:13" s="218" customFormat="1" ht="27.75" customHeight="1">
      <c r="A1" s="224" t="s">
        <v>14</v>
      </c>
      <c r="B1" s="213" t="s">
        <v>8</v>
      </c>
      <c r="C1" s="214" t="s">
        <v>9</v>
      </c>
      <c r="D1" s="215" t="s">
        <v>10</v>
      </c>
      <c r="E1" s="214" t="s">
        <v>11</v>
      </c>
      <c r="F1" s="215" t="s">
        <v>70</v>
      </c>
      <c r="G1" s="216" t="s">
        <v>18</v>
      </c>
      <c r="H1" s="258" t="s">
        <v>63</v>
      </c>
      <c r="I1" s="214" t="s">
        <v>12</v>
      </c>
      <c r="J1" s="215" t="s">
        <v>20</v>
      </c>
      <c r="K1" s="216" t="s">
        <v>21</v>
      </c>
      <c r="L1" s="217" t="s">
        <v>211</v>
      </c>
      <c r="M1" s="259" t="s">
        <v>212</v>
      </c>
    </row>
  </sheetData>
  <customSheetViews>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91"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election activeCell="C11" sqref="C11"/>
    </sheetView>
  </sheetViews>
  <sheetFormatPr defaultRowHeight="12.5"/>
  <sheetData/>
  <customSheetViews>
    <customSheetView guid="{2383B994-5DA1-4BB7-BA01-728624653006}">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FFA6C093-E866-4B92-9807-8D478A2763D4}">
      <pageMargins left="0.7" right="0.7" top="0.75" bottom="0.75" header="0.3" footer="0.3"/>
      <pageSetup orientation="portrait" r:id="rId3"/>
    </customSheetView>
  </customSheetViews>
  <phoneticPr fontId="91"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activeCell="X26" sqref="X26"/>
    </sheetView>
  </sheetViews>
  <sheetFormatPr defaultRowHeight="12.5"/>
  <sheetData>
    <row r="1" spans="1:11" ht="15">
      <c r="A1" s="198"/>
      <c r="B1" s="199"/>
      <c r="C1" s="174"/>
      <c r="D1" s="201"/>
      <c r="E1" s="174"/>
      <c r="F1" s="242"/>
      <c r="G1" s="200"/>
      <c r="H1" s="201"/>
      <c r="I1" s="174"/>
      <c r="J1" s="201"/>
      <c r="K1" s="246"/>
    </row>
    <row r="2" spans="1:11" ht="15">
      <c r="A2" s="230"/>
      <c r="B2" s="231"/>
      <c r="C2" s="187"/>
      <c r="D2" s="230"/>
      <c r="E2" s="232"/>
      <c r="F2" s="230"/>
      <c r="G2" s="250"/>
      <c r="H2" s="207"/>
      <c r="I2" s="187"/>
      <c r="J2" s="207"/>
      <c r="K2" s="249"/>
    </row>
    <row r="3" spans="1:11" ht="15">
      <c r="A3" s="230"/>
      <c r="B3" s="231"/>
      <c r="C3" s="187"/>
      <c r="D3" s="230"/>
      <c r="E3" s="232"/>
      <c r="F3" s="230"/>
      <c r="G3" s="250"/>
      <c r="H3" s="207"/>
      <c r="I3" s="187"/>
      <c r="J3" s="207"/>
      <c r="K3" s="249"/>
    </row>
    <row r="4" spans="1:11" ht="15">
      <c r="A4" s="230"/>
      <c r="B4" s="231"/>
      <c r="C4" s="187"/>
      <c r="D4" s="230"/>
      <c r="E4" s="232"/>
      <c r="F4" s="230"/>
      <c r="G4" s="250"/>
      <c r="H4" s="207"/>
      <c r="I4" s="187"/>
      <c r="J4" s="207"/>
      <c r="K4" s="249"/>
    </row>
    <row r="5" spans="1:11" ht="15">
      <c r="A5" s="230"/>
      <c r="B5" s="231"/>
      <c r="C5" s="187"/>
      <c r="D5" s="230"/>
      <c r="E5" s="232"/>
      <c r="F5" s="230"/>
      <c r="G5" s="250"/>
      <c r="H5" s="207"/>
      <c r="I5" s="257"/>
      <c r="J5" s="207"/>
      <c r="K5" s="249"/>
    </row>
    <row r="6" spans="1:11" ht="15">
      <c r="A6" s="230"/>
      <c r="B6" s="231"/>
      <c r="C6" s="187"/>
      <c r="D6" s="230"/>
      <c r="E6" s="232"/>
      <c r="F6" s="237"/>
      <c r="G6" s="250"/>
      <c r="H6" s="207"/>
      <c r="I6" s="187"/>
      <c r="J6" s="207"/>
      <c r="K6" s="249"/>
    </row>
    <row r="7" spans="1:11" ht="15">
      <c r="A7" s="230"/>
      <c r="B7" s="231"/>
      <c r="C7" s="187"/>
      <c r="D7" s="230"/>
      <c r="E7" s="232"/>
      <c r="F7" s="237"/>
      <c r="G7" s="250"/>
      <c r="H7" s="207"/>
      <c r="I7" s="187"/>
      <c r="J7" s="207"/>
      <c r="K7" s="249"/>
    </row>
    <row r="8" spans="1:11" ht="15">
      <c r="A8" s="230"/>
      <c r="B8" s="231"/>
      <c r="C8" s="187"/>
      <c r="D8" s="230"/>
      <c r="E8" s="232"/>
      <c r="F8" s="230"/>
      <c r="G8" s="250"/>
      <c r="H8" s="207"/>
      <c r="I8" s="187"/>
      <c r="J8" s="207"/>
      <c r="K8" s="249"/>
    </row>
    <row r="9" spans="1:11" ht="15">
      <c r="A9" s="230"/>
      <c r="B9" s="231"/>
      <c r="C9" s="187"/>
      <c r="D9" s="230"/>
      <c r="E9" s="232"/>
      <c r="F9" s="230"/>
      <c r="G9" s="250"/>
      <c r="H9" s="207"/>
      <c r="I9" s="187"/>
      <c r="J9" s="207"/>
      <c r="K9" s="249"/>
    </row>
    <row r="10" spans="1:11" ht="15">
      <c r="A10" s="230"/>
      <c r="B10" s="231"/>
      <c r="C10" s="187"/>
      <c r="D10" s="230"/>
      <c r="E10" s="232"/>
      <c r="F10" s="230"/>
      <c r="G10" s="250"/>
      <c r="H10" s="207"/>
      <c r="I10" s="187"/>
      <c r="J10" s="207"/>
      <c r="K10" s="249"/>
    </row>
    <row r="11" spans="1:11" ht="15">
      <c r="A11" s="230"/>
      <c r="B11" s="231"/>
      <c r="C11" s="187"/>
      <c r="D11" s="230"/>
      <c r="E11" s="232"/>
      <c r="F11" s="230"/>
      <c r="G11" s="250"/>
      <c r="H11" s="207"/>
      <c r="I11" s="187"/>
      <c r="J11" s="207"/>
      <c r="K11" s="255"/>
    </row>
    <row r="12" spans="1:11" ht="15">
      <c r="A12" s="230"/>
      <c r="B12" s="231"/>
      <c r="C12" s="187"/>
      <c r="D12" s="230"/>
      <c r="E12" s="232"/>
      <c r="F12" s="230"/>
      <c r="G12" s="250"/>
      <c r="H12" s="207"/>
      <c r="I12" s="187"/>
      <c r="J12" s="207"/>
      <c r="K12" s="255"/>
    </row>
    <row r="13" spans="1:11" ht="15">
      <c r="A13" s="230"/>
      <c r="B13" s="231"/>
      <c r="C13" s="187"/>
      <c r="D13" s="230"/>
      <c r="E13" s="232"/>
      <c r="F13" s="230"/>
      <c r="G13" s="250"/>
      <c r="H13" s="207"/>
      <c r="I13" s="187"/>
      <c r="J13" s="207"/>
      <c r="K13" s="255"/>
    </row>
    <row r="14" spans="1:11" ht="15">
      <c r="A14" s="230"/>
      <c r="B14" s="231"/>
      <c r="C14" s="187"/>
      <c r="D14" s="230"/>
      <c r="E14" s="232"/>
      <c r="F14" s="230"/>
      <c r="G14" s="250"/>
      <c r="H14" s="207"/>
      <c r="I14" s="187"/>
      <c r="J14" s="207"/>
      <c r="K14" s="249"/>
    </row>
    <row r="15" spans="1:11" ht="15">
      <c r="A15" s="230"/>
      <c r="B15" s="231"/>
      <c r="C15" s="187"/>
      <c r="D15" s="230"/>
      <c r="E15" s="232"/>
      <c r="F15" s="230"/>
      <c r="G15" s="250"/>
      <c r="H15" s="207"/>
      <c r="I15" s="187"/>
      <c r="J15" s="207"/>
      <c r="K15" s="249"/>
    </row>
    <row r="16" spans="1:11" ht="15">
      <c r="A16" s="230"/>
      <c r="B16" s="231"/>
      <c r="C16" s="187"/>
      <c r="D16" s="230"/>
      <c r="E16" s="232"/>
      <c r="F16" s="230"/>
      <c r="G16" s="250"/>
      <c r="H16" s="207"/>
      <c r="I16" s="187"/>
      <c r="J16" s="207"/>
      <c r="K16" s="249"/>
    </row>
    <row r="17" spans="1:11" ht="15">
      <c r="A17" s="230"/>
      <c r="B17" s="231"/>
      <c r="C17" s="187"/>
      <c r="D17" s="230"/>
      <c r="E17" s="232"/>
      <c r="F17" s="230"/>
      <c r="G17" s="250"/>
      <c r="H17" s="207"/>
      <c r="I17" s="187"/>
      <c r="J17" s="207"/>
      <c r="K17" s="249"/>
    </row>
    <row r="18" spans="1:11" ht="15">
      <c r="A18" s="230"/>
      <c r="B18" s="231"/>
      <c r="C18" s="187"/>
      <c r="D18" s="230"/>
      <c r="E18" s="232"/>
      <c r="F18" s="230"/>
      <c r="G18" s="250"/>
      <c r="H18" s="207"/>
      <c r="I18" s="187"/>
      <c r="J18" s="207"/>
      <c r="K18" s="249"/>
    </row>
    <row r="19" spans="1:11" ht="15">
      <c r="A19" s="230"/>
      <c r="B19" s="231"/>
      <c r="C19" s="187"/>
      <c r="D19" s="230"/>
      <c r="E19" s="232"/>
      <c r="F19" s="230"/>
      <c r="G19" s="250"/>
      <c r="H19" s="207"/>
      <c r="I19" s="187"/>
      <c r="J19" s="207"/>
      <c r="K19" s="249"/>
    </row>
    <row r="20" spans="1:11" ht="15">
      <c r="A20" s="230"/>
      <c r="B20" s="231"/>
      <c r="C20" s="187"/>
      <c r="D20" s="230"/>
      <c r="E20" s="232"/>
      <c r="F20" s="230"/>
      <c r="G20" s="250"/>
      <c r="H20" s="207"/>
      <c r="I20" s="187"/>
      <c r="J20" s="207"/>
      <c r="K20" s="249"/>
    </row>
    <row r="21" spans="1:11" ht="15">
      <c r="A21" s="230"/>
      <c r="B21" s="231"/>
      <c r="C21" s="187"/>
      <c r="D21" s="230"/>
      <c r="E21" s="232"/>
      <c r="F21" s="230"/>
      <c r="G21" s="250"/>
      <c r="H21" s="207"/>
      <c r="I21" s="187"/>
      <c r="J21" s="207"/>
      <c r="K21" s="249"/>
    </row>
    <row r="22" spans="1:11" ht="15">
      <c r="A22" s="230"/>
      <c r="B22" s="231"/>
      <c r="C22" s="187"/>
      <c r="D22" s="230"/>
      <c r="E22" s="232"/>
      <c r="F22" s="230"/>
      <c r="G22" s="250"/>
      <c r="H22" s="207"/>
      <c r="I22" s="187"/>
      <c r="J22" s="207"/>
      <c r="K22" s="249"/>
    </row>
    <row r="23" spans="1:11" ht="15">
      <c r="A23" s="230"/>
      <c r="B23" s="231"/>
      <c r="C23" s="187"/>
      <c r="D23" s="230"/>
      <c r="E23" s="232"/>
      <c r="F23" s="230"/>
      <c r="G23" s="250"/>
      <c r="H23" s="207"/>
      <c r="I23" s="187"/>
      <c r="J23" s="207"/>
      <c r="K23" s="249"/>
    </row>
    <row r="24" spans="1:11" ht="15">
      <c r="A24" s="230"/>
      <c r="B24" s="231"/>
      <c r="C24" s="187"/>
      <c r="D24" s="230"/>
      <c r="E24" s="232"/>
      <c r="F24" s="230"/>
      <c r="G24" s="250"/>
      <c r="H24" s="207"/>
      <c r="I24" s="187"/>
      <c r="J24" s="207"/>
      <c r="K24" s="249"/>
    </row>
    <row r="25" spans="1:11" ht="15">
      <c r="A25" s="230"/>
      <c r="B25" s="231"/>
      <c r="C25" s="187"/>
      <c r="D25" s="230"/>
      <c r="E25" s="232"/>
      <c r="F25" s="230"/>
      <c r="G25" s="250"/>
      <c r="H25" s="207"/>
      <c r="I25" s="187"/>
      <c r="J25" s="207"/>
      <c r="K25" s="249"/>
    </row>
    <row r="26" spans="1:11" ht="15">
      <c r="A26" s="230"/>
      <c r="B26" s="231"/>
      <c r="C26" s="187"/>
      <c r="D26" s="230"/>
      <c r="E26" s="232"/>
      <c r="F26" s="230"/>
      <c r="G26" s="250"/>
      <c r="H26" s="207"/>
      <c r="I26" s="187"/>
      <c r="J26" s="207"/>
      <c r="K26" s="249"/>
    </row>
    <row r="27" spans="1:11" ht="15">
      <c r="A27" s="230"/>
      <c r="B27" s="231"/>
      <c r="C27" s="187"/>
      <c r="D27" s="230"/>
      <c r="E27" s="232"/>
      <c r="F27" s="230"/>
      <c r="G27" s="250"/>
      <c r="H27" s="207"/>
      <c r="I27" s="187"/>
      <c r="J27" s="207"/>
      <c r="K27" s="249"/>
    </row>
    <row r="28" spans="1:11" ht="15">
      <c r="A28" s="230"/>
      <c r="B28" s="231"/>
      <c r="C28" s="187"/>
      <c r="D28" s="230"/>
      <c r="E28" s="232"/>
      <c r="F28" s="230"/>
      <c r="G28" s="250"/>
      <c r="H28" s="207"/>
      <c r="I28" s="187"/>
      <c r="J28" s="207"/>
      <c r="K28" s="249"/>
    </row>
    <row r="29" spans="1:11" ht="15">
      <c r="A29" s="230"/>
      <c r="B29" s="231"/>
      <c r="C29" s="187"/>
      <c r="D29" s="230"/>
      <c r="E29" s="232"/>
      <c r="F29" s="230"/>
      <c r="G29" s="250"/>
      <c r="H29" s="207"/>
      <c r="I29" s="187"/>
      <c r="J29" s="207"/>
      <c r="K29" s="249"/>
    </row>
    <row r="30" spans="1:11" ht="15">
      <c r="A30" s="230"/>
      <c r="B30" s="231"/>
      <c r="C30" s="187"/>
      <c r="D30" s="230"/>
      <c r="E30" s="232"/>
      <c r="F30" s="230"/>
      <c r="G30" s="250"/>
      <c r="H30" s="207"/>
      <c r="I30" s="187"/>
      <c r="J30" s="207"/>
      <c r="K30" s="249"/>
    </row>
    <row r="31" spans="1:11" ht="15">
      <c r="A31" s="230"/>
      <c r="B31" s="231"/>
      <c r="C31" s="187"/>
      <c r="D31" s="230"/>
      <c r="E31" s="232"/>
      <c r="F31" s="230"/>
      <c r="G31" s="250"/>
      <c r="H31" s="207"/>
      <c r="I31" s="187"/>
      <c r="J31" s="207"/>
      <c r="K31" s="249"/>
    </row>
    <row r="32" spans="1:11" ht="15">
      <c r="A32" s="230"/>
      <c r="B32" s="231"/>
      <c r="C32" s="187"/>
      <c r="D32" s="230"/>
      <c r="E32" s="232"/>
      <c r="F32" s="230"/>
      <c r="G32" s="250"/>
      <c r="H32" s="207"/>
      <c r="I32" s="187"/>
      <c r="J32" s="207"/>
      <c r="K32" s="249"/>
    </row>
    <row r="33" spans="1:11" ht="15">
      <c r="A33" s="230"/>
      <c r="B33" s="231"/>
      <c r="C33" s="187"/>
      <c r="D33" s="230"/>
      <c r="E33" s="232"/>
      <c r="F33" s="230"/>
      <c r="G33" s="250"/>
      <c r="H33" s="207"/>
      <c r="I33" s="187"/>
      <c r="J33" s="207"/>
      <c r="K33" s="249"/>
    </row>
    <row r="34" spans="1:11" ht="15">
      <c r="A34" s="204"/>
      <c r="B34" s="205"/>
      <c r="C34" s="175"/>
      <c r="D34" s="207"/>
      <c r="E34" s="175"/>
      <c r="F34" s="176"/>
      <c r="G34" s="206"/>
      <c r="H34" s="207"/>
      <c r="I34" s="175"/>
      <c r="J34" s="176"/>
      <c r="K34" s="212"/>
    </row>
    <row r="35" spans="1:11" ht="15">
      <c r="A35" s="204"/>
      <c r="B35" s="205"/>
      <c r="C35" s="175"/>
      <c r="D35" s="207"/>
      <c r="E35" s="175"/>
      <c r="F35" s="176"/>
      <c r="G35" s="206"/>
      <c r="H35" s="207"/>
      <c r="I35" s="175"/>
      <c r="J35" s="176"/>
      <c r="K35" s="212"/>
    </row>
    <row r="36" spans="1:11" ht="15">
      <c r="A36" s="204"/>
      <c r="B36" s="205"/>
      <c r="C36" s="175"/>
      <c r="D36" s="207"/>
      <c r="E36" s="175"/>
      <c r="F36" s="176"/>
      <c r="G36" s="206"/>
      <c r="H36" s="207"/>
      <c r="I36" s="211"/>
      <c r="J36" s="207"/>
      <c r="K36" s="212"/>
    </row>
    <row r="37" spans="1:11" ht="15">
      <c r="A37" s="204"/>
      <c r="B37" s="205"/>
      <c r="C37" s="175"/>
      <c r="D37" s="207"/>
      <c r="E37" s="175"/>
      <c r="F37" s="176"/>
      <c r="G37" s="206"/>
      <c r="H37" s="207"/>
      <c r="I37" s="175"/>
      <c r="J37" s="176"/>
      <c r="K37" s="212"/>
    </row>
    <row r="38" spans="1:11" ht="15">
      <c r="A38" s="204"/>
      <c r="B38" s="205"/>
      <c r="C38" s="175"/>
      <c r="D38" s="207"/>
      <c r="E38" s="175"/>
      <c r="F38" s="226"/>
      <c r="G38" s="206"/>
      <c r="H38" s="207"/>
      <c r="I38" s="175"/>
      <c r="J38" s="207"/>
      <c r="K38" s="212"/>
    </row>
    <row r="39" spans="1:11" ht="15">
      <c r="A39" s="204"/>
      <c r="B39" s="205"/>
      <c r="C39" s="175"/>
      <c r="D39" s="207"/>
      <c r="E39" s="175"/>
      <c r="F39" s="226"/>
      <c r="G39" s="206"/>
      <c r="H39" s="207"/>
      <c r="I39" s="175"/>
      <c r="J39" s="207"/>
      <c r="K39" s="212"/>
    </row>
    <row r="40" spans="1:11" ht="15">
      <c r="A40" s="204"/>
      <c r="B40" s="205"/>
      <c r="C40" s="175"/>
      <c r="D40" s="207"/>
      <c r="E40" s="175"/>
      <c r="F40" s="226"/>
      <c r="G40" s="206"/>
      <c r="H40" s="207"/>
      <c r="I40" s="175"/>
      <c r="J40" s="207"/>
      <c r="K40" s="212"/>
    </row>
    <row r="41" spans="1:11" ht="15">
      <c r="A41" s="204"/>
      <c r="B41" s="205"/>
      <c r="C41" s="175"/>
      <c r="D41" s="207"/>
      <c r="E41" s="175"/>
      <c r="F41" s="226"/>
      <c r="G41" s="206"/>
      <c r="H41" s="207"/>
      <c r="I41" s="175"/>
      <c r="J41" s="207"/>
      <c r="K41" s="212"/>
    </row>
    <row r="42" spans="1:11" ht="15">
      <c r="A42" s="204"/>
      <c r="B42" s="205"/>
      <c r="C42" s="175"/>
      <c r="D42" s="207"/>
      <c r="E42" s="175"/>
      <c r="F42" s="226"/>
      <c r="G42" s="206"/>
      <c r="H42" s="207"/>
      <c r="I42" s="175"/>
      <c r="J42" s="207"/>
      <c r="K42" s="212"/>
    </row>
    <row r="43" spans="1:11" ht="15">
      <c r="A43" s="204"/>
      <c r="B43" s="205"/>
      <c r="C43" s="175"/>
      <c r="D43" s="207"/>
      <c r="E43" s="175"/>
      <c r="F43" s="226"/>
      <c r="G43" s="206"/>
      <c r="H43" s="207"/>
      <c r="I43" s="175"/>
      <c r="J43" s="207"/>
      <c r="K43" s="212"/>
    </row>
    <row r="44" spans="1:11" ht="15">
      <c r="A44" s="204"/>
      <c r="B44" s="205"/>
      <c r="C44" s="175"/>
      <c r="D44" s="207"/>
      <c r="E44" s="175"/>
      <c r="F44" s="226"/>
      <c r="G44" s="206"/>
      <c r="H44" s="207"/>
      <c r="I44" s="175"/>
      <c r="J44" s="207"/>
      <c r="K44" s="212"/>
    </row>
    <row r="45" spans="1:11" ht="15">
      <c r="A45" s="204"/>
      <c r="B45" s="205"/>
      <c r="C45" s="175"/>
      <c r="D45" s="207"/>
      <c r="E45" s="175"/>
      <c r="F45" s="226"/>
      <c r="G45" s="206"/>
      <c r="H45" s="207"/>
      <c r="I45" s="175"/>
      <c r="J45" s="207"/>
      <c r="K45" s="212"/>
    </row>
    <row r="46" spans="1:11" ht="15">
      <c r="A46" s="204"/>
      <c r="B46" s="205"/>
      <c r="C46" s="175"/>
      <c r="D46" s="207"/>
      <c r="E46" s="175"/>
      <c r="F46" s="226"/>
      <c r="G46" s="206"/>
      <c r="H46" s="207"/>
      <c r="I46" s="175"/>
      <c r="J46" s="207"/>
      <c r="K46" s="212"/>
    </row>
    <row r="47" spans="1:11" ht="15">
      <c r="A47" s="204"/>
      <c r="B47" s="205"/>
      <c r="C47" s="175"/>
      <c r="D47" s="207"/>
      <c r="E47" s="175"/>
      <c r="F47" s="226"/>
      <c r="G47" s="206"/>
      <c r="H47" s="207"/>
      <c r="I47" s="175"/>
      <c r="J47" s="207"/>
      <c r="K47" s="212"/>
    </row>
    <row r="48" spans="1:11" ht="15">
      <c r="A48" s="204"/>
      <c r="B48" s="205"/>
      <c r="C48" s="175"/>
      <c r="D48" s="207"/>
      <c r="E48" s="175"/>
      <c r="F48" s="226"/>
      <c r="G48" s="206"/>
      <c r="H48" s="207"/>
      <c r="I48" s="175"/>
      <c r="J48" s="207"/>
      <c r="K48" s="212"/>
    </row>
    <row r="49" spans="1:11" ht="15">
      <c r="A49" s="204"/>
      <c r="B49" s="205"/>
      <c r="C49" s="175"/>
      <c r="D49" s="207"/>
      <c r="E49" s="175"/>
      <c r="F49" s="226"/>
      <c r="G49" s="206"/>
      <c r="H49" s="207"/>
      <c r="I49" s="175"/>
      <c r="J49" s="207"/>
      <c r="K49" s="212"/>
    </row>
    <row r="50" spans="1:11" ht="15">
      <c r="A50" s="204"/>
      <c r="B50" s="205"/>
      <c r="C50" s="175"/>
      <c r="D50" s="207"/>
      <c r="E50" s="175"/>
      <c r="F50" s="226"/>
      <c r="G50" s="206"/>
      <c r="H50" s="207"/>
      <c r="I50" s="175"/>
      <c r="J50" s="207"/>
      <c r="K50" s="212"/>
    </row>
    <row r="51" spans="1:11" ht="15">
      <c r="A51" s="204"/>
      <c r="B51" s="205"/>
      <c r="C51" s="175"/>
      <c r="D51" s="207"/>
      <c r="E51" s="175"/>
      <c r="F51" s="176"/>
      <c r="G51" s="206"/>
      <c r="H51" s="207"/>
      <c r="I51" s="175"/>
      <c r="J51" s="176"/>
      <c r="K51" s="212"/>
    </row>
    <row r="52" spans="1:11" ht="15">
      <c r="A52" s="204"/>
      <c r="B52" s="205"/>
      <c r="C52" s="175"/>
      <c r="D52" s="207"/>
      <c r="E52" s="175"/>
      <c r="F52" s="226"/>
      <c r="G52" s="206"/>
      <c r="H52" s="207"/>
      <c r="I52" s="175"/>
      <c r="J52" s="176"/>
      <c r="K52" s="212"/>
    </row>
    <row r="53" spans="1:11" ht="15">
      <c r="A53" s="204"/>
      <c r="B53" s="205"/>
      <c r="C53" s="175"/>
      <c r="D53" s="207"/>
      <c r="E53" s="175"/>
      <c r="F53" s="226"/>
      <c r="G53" s="206"/>
      <c r="H53" s="207"/>
      <c r="I53" s="175"/>
      <c r="J53" s="176"/>
      <c r="K53" s="212"/>
    </row>
    <row r="54" spans="1:11" ht="15">
      <c r="A54" s="204"/>
      <c r="B54" s="205"/>
      <c r="C54" s="175"/>
      <c r="D54" s="207"/>
      <c r="E54" s="175"/>
      <c r="F54" s="226"/>
      <c r="G54" s="206"/>
      <c r="H54" s="207"/>
      <c r="I54" s="175"/>
      <c r="J54" s="176"/>
      <c r="K54" s="212"/>
    </row>
    <row r="55" spans="1:11" ht="15">
      <c r="A55" s="204"/>
      <c r="B55" s="205"/>
      <c r="C55" s="175"/>
      <c r="D55" s="207"/>
      <c r="E55" s="175"/>
      <c r="F55" s="226"/>
      <c r="G55" s="206"/>
      <c r="H55" s="207"/>
      <c r="I55" s="175"/>
      <c r="J55" s="176"/>
      <c r="K55" s="212"/>
    </row>
    <row r="56" spans="1:11" ht="15">
      <c r="A56" s="204"/>
      <c r="B56" s="205"/>
      <c r="C56" s="175"/>
      <c r="D56" s="207"/>
      <c r="E56" s="175"/>
      <c r="F56" s="226"/>
      <c r="G56" s="206"/>
      <c r="H56" s="207"/>
      <c r="I56" s="175"/>
      <c r="J56" s="176"/>
      <c r="K56" s="212"/>
    </row>
    <row r="57" spans="1:11" ht="15">
      <c r="A57" s="204"/>
      <c r="B57" s="205"/>
      <c r="C57" s="175"/>
      <c r="D57" s="207"/>
      <c r="E57" s="175"/>
      <c r="F57" s="226"/>
      <c r="G57" s="206"/>
      <c r="H57" s="207"/>
      <c r="I57" s="175"/>
      <c r="J57" s="176"/>
      <c r="K57" s="212"/>
    </row>
    <row r="58" spans="1:11" ht="15">
      <c r="A58" s="204"/>
      <c r="B58" s="205"/>
      <c r="C58" s="175"/>
      <c r="D58" s="207"/>
      <c r="E58" s="175"/>
      <c r="F58" s="226"/>
      <c r="G58" s="206"/>
      <c r="H58" s="207"/>
      <c r="I58" s="175"/>
      <c r="J58" s="176"/>
      <c r="K58" s="212"/>
    </row>
    <row r="59" spans="1:11" ht="15">
      <c r="A59" s="204"/>
      <c r="B59" s="205"/>
      <c r="C59" s="175"/>
      <c r="D59" s="207"/>
      <c r="E59" s="175"/>
      <c r="F59" s="226"/>
      <c r="G59" s="206"/>
      <c r="H59" s="207"/>
      <c r="I59" s="175"/>
      <c r="J59" s="176"/>
      <c r="K59" s="212"/>
    </row>
    <row r="60" spans="1:11" ht="15">
      <c r="A60" s="204"/>
      <c r="B60" s="205"/>
      <c r="C60" s="175"/>
      <c r="D60" s="207"/>
      <c r="E60" s="175"/>
      <c r="F60" s="226"/>
      <c r="G60" s="206"/>
      <c r="H60" s="207"/>
      <c r="I60" s="175"/>
      <c r="J60" s="176"/>
      <c r="K60" s="212"/>
    </row>
    <row r="61" spans="1:11" ht="15">
      <c r="A61" s="204"/>
      <c r="B61" s="205"/>
      <c r="C61" s="175"/>
      <c r="D61" s="207"/>
      <c r="E61" s="175"/>
      <c r="F61" s="226"/>
      <c r="G61" s="206"/>
      <c r="H61" s="207"/>
      <c r="I61" s="175"/>
      <c r="J61" s="176"/>
      <c r="K61" s="212"/>
    </row>
    <row r="62" spans="1:11" ht="15">
      <c r="A62" s="204"/>
      <c r="B62" s="205"/>
      <c r="C62" s="175"/>
      <c r="D62" s="207"/>
      <c r="E62" s="175"/>
      <c r="F62" s="226"/>
      <c r="G62" s="206"/>
      <c r="H62" s="207"/>
      <c r="I62" s="175"/>
      <c r="J62" s="176"/>
      <c r="K62" s="212"/>
    </row>
    <row r="63" spans="1:11" ht="15">
      <c r="A63" s="204"/>
      <c r="B63" s="205"/>
      <c r="C63" s="175"/>
      <c r="D63" s="207"/>
      <c r="E63" s="175"/>
      <c r="F63" s="226"/>
      <c r="G63" s="206"/>
      <c r="H63" s="207"/>
      <c r="I63" s="175"/>
      <c r="J63" s="176"/>
      <c r="K63" s="212"/>
    </row>
    <row r="64" spans="1:11" ht="15">
      <c r="A64" s="204"/>
      <c r="B64" s="205"/>
      <c r="C64" s="175"/>
      <c r="D64" s="207"/>
      <c r="E64" s="175"/>
      <c r="F64" s="226"/>
      <c r="G64" s="206"/>
      <c r="H64" s="207"/>
      <c r="I64" s="175"/>
      <c r="J64" s="176"/>
      <c r="K64" s="212"/>
    </row>
    <row r="65" spans="1:11" ht="15">
      <c r="A65" s="204"/>
      <c r="B65" s="205"/>
      <c r="C65" s="175"/>
      <c r="D65" s="207"/>
      <c r="E65" s="175"/>
      <c r="F65" s="176"/>
      <c r="G65" s="206"/>
      <c r="H65" s="207"/>
      <c r="I65" s="175"/>
      <c r="J65" s="176"/>
      <c r="K65" s="212"/>
    </row>
    <row r="66" spans="1:11" ht="15">
      <c r="A66" s="204"/>
      <c r="B66" s="205"/>
      <c r="C66" s="175"/>
      <c r="D66" s="207"/>
      <c r="E66" s="175"/>
      <c r="F66" s="176"/>
      <c r="G66" s="206"/>
      <c r="H66" s="207"/>
      <c r="I66" s="175"/>
      <c r="J66" s="226"/>
      <c r="K66" s="212"/>
    </row>
    <row r="67" spans="1:11" ht="15">
      <c r="A67" s="204"/>
      <c r="B67" s="205"/>
      <c r="C67" s="175"/>
      <c r="D67" s="207"/>
      <c r="E67" s="175"/>
      <c r="F67" s="176"/>
      <c r="G67" s="206"/>
      <c r="H67" s="207"/>
      <c r="I67" s="175"/>
      <c r="J67" s="226"/>
      <c r="K67" s="212"/>
    </row>
    <row r="68" spans="1:11" ht="15">
      <c r="A68" s="204"/>
      <c r="B68" s="205"/>
      <c r="C68" s="175"/>
      <c r="D68" s="207"/>
      <c r="E68" s="175"/>
      <c r="F68" s="176"/>
      <c r="G68" s="206"/>
      <c r="H68" s="207"/>
      <c r="I68" s="175"/>
      <c r="J68" s="226"/>
      <c r="K68" s="212"/>
    </row>
    <row r="69" spans="1:11" ht="15">
      <c r="A69" s="204"/>
      <c r="B69" s="205"/>
      <c r="C69" s="175"/>
      <c r="D69" s="207"/>
      <c r="E69" s="175"/>
      <c r="F69" s="176"/>
      <c r="G69" s="206"/>
      <c r="H69" s="207"/>
      <c r="I69" s="175"/>
      <c r="J69" s="176"/>
      <c r="K69" s="212"/>
    </row>
    <row r="70" spans="1:11" ht="15">
      <c r="A70" s="204"/>
      <c r="B70" s="205"/>
      <c r="C70" s="175"/>
      <c r="D70" s="207"/>
      <c r="E70" s="175"/>
      <c r="F70" s="176"/>
      <c r="G70" s="206"/>
      <c r="H70" s="207"/>
      <c r="I70" s="175"/>
      <c r="J70" s="176"/>
      <c r="K70" s="212"/>
    </row>
    <row r="71" spans="1:11" ht="15">
      <c r="A71" s="204"/>
      <c r="B71" s="205"/>
      <c r="C71" s="175"/>
      <c r="D71" s="207"/>
      <c r="E71" s="175"/>
      <c r="F71" s="176"/>
      <c r="G71" s="206"/>
      <c r="H71" s="207"/>
      <c r="I71" s="175"/>
      <c r="J71" s="176"/>
      <c r="K71" s="212"/>
    </row>
    <row r="72" spans="1:11" ht="15">
      <c r="A72" s="204"/>
      <c r="B72" s="205"/>
      <c r="C72" s="175"/>
      <c r="D72" s="207"/>
      <c r="E72" s="175"/>
      <c r="F72" s="176"/>
      <c r="G72" s="206"/>
      <c r="H72" s="207"/>
      <c r="I72" s="175"/>
      <c r="J72" s="176"/>
      <c r="K72" s="212"/>
    </row>
    <row r="73" spans="1:11" ht="15">
      <c r="A73" s="204"/>
      <c r="B73" s="205"/>
      <c r="C73" s="175"/>
      <c r="D73" s="207"/>
      <c r="E73" s="175"/>
      <c r="F73" s="176"/>
      <c r="G73" s="206"/>
      <c r="H73" s="207"/>
      <c r="I73" s="175"/>
      <c r="J73" s="176"/>
      <c r="K73" s="212"/>
    </row>
    <row r="74" spans="1:11" ht="15">
      <c r="A74" s="204"/>
      <c r="B74" s="205"/>
      <c r="C74" s="175"/>
      <c r="D74" s="207"/>
      <c r="E74" s="175"/>
      <c r="F74" s="176"/>
      <c r="G74" s="206"/>
      <c r="H74" s="207"/>
      <c r="I74" s="175"/>
      <c r="J74" s="176"/>
      <c r="K74" s="212"/>
    </row>
    <row r="75" spans="1:11" ht="15">
      <c r="A75" s="204"/>
      <c r="B75" s="205"/>
      <c r="C75" s="175"/>
      <c r="D75" s="227"/>
      <c r="E75" s="175"/>
      <c r="F75" s="176"/>
      <c r="G75" s="206"/>
      <c r="H75" s="207"/>
      <c r="I75" s="175"/>
      <c r="J75" s="176"/>
      <c r="K75" s="212"/>
    </row>
    <row r="76" spans="1:11" ht="15">
      <c r="A76" s="204"/>
      <c r="B76" s="205"/>
      <c r="C76" s="175"/>
      <c r="D76" s="207"/>
      <c r="E76" s="175"/>
      <c r="F76" s="176"/>
      <c r="G76" s="206"/>
      <c r="H76" s="207"/>
      <c r="I76" s="175"/>
      <c r="J76" s="176"/>
      <c r="K76" s="212"/>
    </row>
    <row r="77" spans="1:11" ht="15">
      <c r="A77" s="204"/>
      <c r="B77" s="205"/>
      <c r="C77" s="175"/>
      <c r="D77" s="207"/>
      <c r="E77" s="175"/>
      <c r="F77" s="176"/>
      <c r="G77" s="206"/>
      <c r="H77" s="207"/>
      <c r="I77" s="175"/>
      <c r="J77" s="176"/>
      <c r="K77" s="212"/>
    </row>
    <row r="78" spans="1:11" ht="15">
      <c r="A78" s="204"/>
      <c r="B78" s="205"/>
      <c r="C78" s="175"/>
      <c r="D78" s="207"/>
      <c r="E78" s="175"/>
      <c r="F78" s="176"/>
      <c r="G78" s="206"/>
      <c r="H78" s="207"/>
      <c r="I78" s="175"/>
      <c r="J78" s="176"/>
      <c r="K78" s="212"/>
    </row>
    <row r="79" spans="1:11" ht="15">
      <c r="A79" s="204"/>
      <c r="B79" s="205"/>
      <c r="C79" s="175"/>
      <c r="D79" s="207"/>
      <c r="E79" s="175"/>
      <c r="F79" s="176"/>
      <c r="G79" s="206"/>
      <c r="H79" s="207"/>
      <c r="I79" s="175"/>
      <c r="J79" s="176"/>
      <c r="K79" s="212"/>
    </row>
    <row r="80" spans="1:11" ht="15">
      <c r="A80" s="204"/>
      <c r="B80" s="205"/>
      <c r="C80" s="175"/>
      <c r="D80" s="207"/>
      <c r="E80" s="175"/>
      <c r="F80" s="176"/>
      <c r="G80" s="206"/>
      <c r="H80" s="207"/>
      <c r="I80" s="175"/>
      <c r="J80" s="176"/>
      <c r="K80" s="212"/>
    </row>
    <row r="81" spans="1:11" ht="15">
      <c r="A81" s="204"/>
      <c r="B81" s="205"/>
      <c r="C81" s="175"/>
      <c r="D81" s="207"/>
      <c r="E81" s="175"/>
      <c r="F81" s="176"/>
      <c r="G81" s="206"/>
      <c r="H81" s="207"/>
      <c r="I81" s="175"/>
      <c r="J81" s="176"/>
      <c r="K81" s="212"/>
    </row>
    <row r="82" spans="1:11" ht="15">
      <c r="A82" s="204"/>
      <c r="B82" s="205"/>
      <c r="C82" s="175"/>
      <c r="D82" s="207"/>
      <c r="E82" s="175"/>
      <c r="F82" s="176"/>
      <c r="G82" s="206"/>
      <c r="H82" s="207"/>
      <c r="I82" s="175"/>
      <c r="J82" s="176"/>
      <c r="K82" s="212"/>
    </row>
    <row r="83" spans="1:11" ht="15">
      <c r="A83" s="204"/>
      <c r="B83" s="205"/>
      <c r="C83" s="175"/>
      <c r="D83" s="207"/>
      <c r="E83" s="175"/>
      <c r="F83" s="176"/>
      <c r="G83" s="206"/>
      <c r="H83" s="207"/>
      <c r="I83" s="175"/>
      <c r="J83" s="176"/>
      <c r="K83" s="212"/>
    </row>
    <row r="84" spans="1:11" ht="15">
      <c r="A84" s="204"/>
      <c r="B84" s="205"/>
      <c r="C84" s="175"/>
      <c r="D84" s="207"/>
      <c r="E84" s="175"/>
      <c r="F84" s="176"/>
      <c r="G84" s="206"/>
      <c r="H84" s="207"/>
      <c r="I84" s="175"/>
      <c r="J84" s="176"/>
      <c r="K84" s="212"/>
    </row>
    <row r="85" spans="1:11" ht="15">
      <c r="A85" s="204"/>
      <c r="B85" s="205"/>
      <c r="C85" s="175"/>
      <c r="D85" s="207"/>
      <c r="E85" s="175"/>
      <c r="F85" s="176"/>
      <c r="G85" s="206"/>
      <c r="H85" s="207"/>
      <c r="I85" s="175"/>
      <c r="J85" s="176"/>
      <c r="K85" s="212"/>
    </row>
    <row r="86" spans="1:11" ht="15">
      <c r="A86" s="204"/>
      <c r="B86" s="205"/>
      <c r="C86" s="175"/>
      <c r="D86" s="207"/>
      <c r="E86" s="175"/>
      <c r="F86" s="176"/>
      <c r="G86" s="206"/>
      <c r="H86" s="207"/>
      <c r="I86" s="175"/>
      <c r="J86" s="176"/>
      <c r="K86" s="212"/>
    </row>
    <row r="87" spans="1:11" ht="15">
      <c r="A87" s="204"/>
      <c r="B87" s="205"/>
      <c r="C87" s="175"/>
      <c r="D87" s="207"/>
      <c r="E87" s="175"/>
      <c r="F87" s="176"/>
      <c r="G87" s="206"/>
      <c r="H87" s="207"/>
      <c r="I87" s="175"/>
      <c r="J87" s="176"/>
      <c r="K87" s="212"/>
    </row>
    <row r="88" spans="1:11" ht="15">
      <c r="A88" s="204"/>
      <c r="B88" s="205"/>
      <c r="C88" s="175"/>
      <c r="D88" s="207"/>
      <c r="E88" s="175"/>
      <c r="F88" s="176"/>
      <c r="G88" s="206"/>
      <c r="H88" s="207"/>
      <c r="I88" s="175"/>
      <c r="J88" s="176"/>
      <c r="K88" s="212"/>
    </row>
    <row r="89" spans="1:11" ht="15">
      <c r="A89" s="204"/>
      <c r="B89" s="205"/>
      <c r="C89" s="175"/>
      <c r="D89" s="207"/>
      <c r="E89" s="175"/>
      <c r="F89" s="176"/>
      <c r="G89" s="206"/>
      <c r="H89" s="207"/>
      <c r="I89" s="175"/>
      <c r="J89" s="176"/>
      <c r="K89" s="212"/>
    </row>
    <row r="90" spans="1:11" ht="15">
      <c r="A90" s="204"/>
      <c r="B90" s="205"/>
      <c r="C90" s="175"/>
      <c r="D90" s="207"/>
      <c r="E90" s="175"/>
      <c r="F90" s="176"/>
      <c r="G90" s="206"/>
      <c r="H90" s="207"/>
      <c r="I90" s="175"/>
      <c r="J90" s="176"/>
      <c r="K90" s="212"/>
    </row>
    <row r="91" spans="1:11" ht="15">
      <c r="A91" s="204"/>
      <c r="B91" s="205"/>
      <c r="C91" s="175"/>
      <c r="D91" s="207"/>
      <c r="E91" s="175"/>
      <c r="F91" s="176"/>
      <c r="G91" s="206"/>
      <c r="H91" s="207"/>
      <c r="I91" s="175"/>
      <c r="J91" s="176"/>
      <c r="K91" s="212"/>
    </row>
    <row r="92" spans="1:11" ht="15">
      <c r="A92" s="204"/>
      <c r="B92" s="205"/>
      <c r="C92" s="175"/>
      <c r="D92" s="207"/>
      <c r="E92" s="175"/>
      <c r="F92" s="176"/>
      <c r="G92" s="206"/>
      <c r="H92" s="207"/>
      <c r="I92" s="175"/>
      <c r="J92" s="176"/>
      <c r="K92" s="212"/>
    </row>
    <row r="93" spans="1:11" ht="15">
      <c r="A93" s="204"/>
      <c r="B93" s="205"/>
      <c r="C93" s="175"/>
      <c r="D93" s="207"/>
      <c r="E93" s="175"/>
      <c r="F93" s="176"/>
      <c r="G93" s="206"/>
      <c r="H93" s="207"/>
      <c r="I93" s="175"/>
      <c r="J93" s="176"/>
      <c r="K93" s="212"/>
    </row>
    <row r="94" spans="1:11" ht="15">
      <c r="A94" s="204"/>
      <c r="B94" s="205"/>
      <c r="C94" s="175"/>
      <c r="D94" s="207"/>
      <c r="E94" s="175"/>
      <c r="F94" s="176"/>
      <c r="G94" s="206"/>
      <c r="H94" s="207"/>
      <c r="I94" s="175"/>
      <c r="J94" s="176"/>
      <c r="K94" s="212"/>
    </row>
    <row r="95" spans="1:11" ht="15">
      <c r="A95" s="204"/>
      <c r="B95" s="205"/>
      <c r="C95" s="175"/>
      <c r="D95" s="207"/>
      <c r="E95" s="175"/>
      <c r="F95" s="176"/>
      <c r="G95" s="206"/>
      <c r="H95" s="207"/>
      <c r="I95" s="175"/>
      <c r="J95" s="176"/>
      <c r="K95" s="212"/>
    </row>
    <row r="96" spans="1:11" ht="15">
      <c r="A96" s="204"/>
      <c r="B96" s="205"/>
      <c r="C96" s="175"/>
      <c r="D96" s="207"/>
      <c r="E96" s="175"/>
      <c r="F96" s="176"/>
      <c r="G96" s="206"/>
      <c r="H96" s="207"/>
      <c r="I96" s="175"/>
      <c r="J96" s="176"/>
      <c r="K96" s="212"/>
    </row>
    <row r="97" spans="1:11" ht="15">
      <c r="A97" s="204"/>
      <c r="B97" s="205"/>
      <c r="C97" s="175"/>
      <c r="D97" s="207"/>
      <c r="E97" s="175"/>
      <c r="F97" s="176"/>
      <c r="G97" s="206"/>
      <c r="H97" s="207"/>
      <c r="I97" s="175"/>
      <c r="J97" s="176"/>
      <c r="K97" s="212"/>
    </row>
    <row r="98" spans="1:11" ht="15">
      <c r="A98" s="204"/>
      <c r="B98" s="205"/>
      <c r="C98" s="175"/>
      <c r="D98" s="207"/>
      <c r="E98" s="175"/>
      <c r="F98" s="176"/>
      <c r="G98" s="206"/>
      <c r="H98" s="207"/>
      <c r="I98" s="175"/>
      <c r="J98" s="176"/>
      <c r="K98" s="212"/>
    </row>
    <row r="99" spans="1:11" ht="15">
      <c r="A99" s="204"/>
      <c r="B99" s="205"/>
      <c r="C99" s="175"/>
      <c r="D99" s="207"/>
      <c r="E99" s="175"/>
      <c r="F99" s="176"/>
      <c r="G99" s="206"/>
      <c r="H99" s="207"/>
      <c r="I99" s="175"/>
      <c r="J99" s="176"/>
      <c r="K99" s="212"/>
    </row>
    <row r="100" spans="1:11" ht="15">
      <c r="A100" s="204"/>
      <c r="B100" s="205"/>
      <c r="C100" s="175"/>
      <c r="D100" s="207"/>
      <c r="E100" s="175"/>
      <c r="F100" s="176"/>
      <c r="G100" s="206"/>
      <c r="H100" s="207"/>
      <c r="I100" s="175"/>
      <c r="J100" s="176"/>
      <c r="K100" s="212"/>
    </row>
    <row r="101" spans="1:11" ht="15">
      <c r="A101" s="204"/>
      <c r="B101" s="205"/>
      <c r="C101" s="175"/>
      <c r="D101" s="207"/>
      <c r="E101" s="175"/>
      <c r="F101" s="176"/>
      <c r="G101" s="206"/>
      <c r="H101" s="207"/>
      <c r="I101" s="175"/>
      <c r="J101" s="176"/>
      <c r="K101" s="212"/>
    </row>
    <row r="102" spans="1:11" ht="15">
      <c r="A102" s="204"/>
      <c r="B102" s="205"/>
      <c r="C102" s="175"/>
      <c r="D102" s="207"/>
      <c r="E102" s="175"/>
      <c r="F102" s="176"/>
      <c r="G102" s="206"/>
      <c r="H102" s="207"/>
      <c r="I102" s="175"/>
      <c r="J102" s="176"/>
      <c r="K102" s="212"/>
    </row>
    <row r="103" spans="1:11" ht="15">
      <c r="A103" s="204"/>
      <c r="B103" s="205"/>
      <c r="C103" s="175"/>
      <c r="D103" s="207"/>
      <c r="E103" s="175"/>
      <c r="F103" s="176"/>
      <c r="G103" s="206"/>
      <c r="H103" s="207"/>
      <c r="I103" s="175"/>
      <c r="J103" s="176"/>
      <c r="K103" s="212"/>
    </row>
    <row r="104" spans="1:11" ht="15">
      <c r="A104" s="204"/>
      <c r="B104" s="205"/>
      <c r="C104" s="175"/>
      <c r="D104" s="207"/>
      <c r="E104" s="175"/>
      <c r="F104" s="176"/>
      <c r="G104" s="206"/>
      <c r="H104" s="207"/>
      <c r="I104" s="175"/>
      <c r="J104" s="176"/>
      <c r="K104" s="212"/>
    </row>
    <row r="105" spans="1:11" ht="15">
      <c r="A105" s="204"/>
      <c r="B105" s="205"/>
      <c r="C105" s="175"/>
      <c r="D105" s="207"/>
      <c r="E105" s="175"/>
      <c r="F105" s="176"/>
      <c r="G105" s="206"/>
      <c r="H105" s="207"/>
      <c r="I105" s="175"/>
      <c r="J105" s="176"/>
      <c r="K105" s="212"/>
    </row>
    <row r="106" spans="1:11" ht="15">
      <c r="A106" s="204"/>
      <c r="B106" s="205"/>
      <c r="C106" s="175"/>
      <c r="D106" s="207"/>
      <c r="E106" s="175"/>
      <c r="F106" s="176"/>
      <c r="G106" s="206"/>
      <c r="H106" s="207"/>
      <c r="I106" s="175"/>
      <c r="J106" s="176"/>
      <c r="K106" s="212"/>
    </row>
    <row r="107" spans="1:11" ht="15">
      <c r="A107" s="204"/>
      <c r="B107" s="205"/>
      <c r="C107" s="175"/>
      <c r="D107" s="207"/>
      <c r="E107" s="175"/>
      <c r="F107" s="176"/>
      <c r="G107" s="206"/>
      <c r="H107" s="207"/>
      <c r="I107" s="175"/>
      <c r="J107" s="176"/>
      <c r="K107" s="212"/>
    </row>
    <row r="108" spans="1:11" ht="15">
      <c r="A108" s="204"/>
      <c r="B108" s="205"/>
      <c r="C108" s="175"/>
      <c r="D108" s="207"/>
      <c r="E108" s="175"/>
      <c r="F108" s="176"/>
      <c r="G108" s="206"/>
      <c r="H108" s="207"/>
      <c r="I108" s="175"/>
      <c r="J108" s="176"/>
      <c r="K108" s="212"/>
    </row>
    <row r="109" spans="1:11" ht="15">
      <c r="A109" s="204"/>
      <c r="B109" s="205"/>
      <c r="C109" s="175"/>
      <c r="D109" s="207"/>
      <c r="E109" s="175"/>
      <c r="F109" s="176"/>
      <c r="G109" s="206"/>
      <c r="H109" s="207"/>
      <c r="I109" s="175"/>
      <c r="J109" s="176"/>
      <c r="K109" s="212"/>
    </row>
    <row r="110" spans="1:11" ht="15">
      <c r="A110" s="204"/>
      <c r="B110" s="205"/>
      <c r="C110" s="175"/>
      <c r="D110" s="207"/>
      <c r="E110" s="175"/>
      <c r="F110" s="176"/>
      <c r="G110" s="206"/>
      <c r="H110" s="207"/>
      <c r="I110" s="175"/>
      <c r="J110" s="176"/>
      <c r="K110" s="212"/>
    </row>
    <row r="111" spans="1:11" ht="15">
      <c r="A111" s="204"/>
      <c r="B111" s="205"/>
      <c r="C111" s="175"/>
      <c r="D111" s="207"/>
      <c r="E111" s="175"/>
      <c r="F111" s="176"/>
      <c r="G111" s="206"/>
      <c r="H111" s="207"/>
      <c r="I111" s="175"/>
      <c r="J111" s="176"/>
      <c r="K111" s="212"/>
    </row>
    <row r="112" spans="1:11" ht="15">
      <c r="A112" s="204"/>
      <c r="B112" s="205"/>
      <c r="C112" s="175"/>
      <c r="D112" s="207"/>
      <c r="E112" s="175"/>
      <c r="F112" s="176"/>
      <c r="G112" s="206"/>
      <c r="H112" s="207"/>
      <c r="I112" s="175"/>
      <c r="J112" s="176"/>
      <c r="K112" s="212"/>
    </row>
    <row r="113" spans="1:11" ht="15">
      <c r="A113" s="204"/>
      <c r="B113" s="205"/>
      <c r="C113" s="175"/>
      <c r="D113" s="207"/>
      <c r="E113" s="175"/>
      <c r="F113" s="176"/>
      <c r="G113" s="206"/>
      <c r="H113" s="207"/>
      <c r="I113" s="175"/>
      <c r="J113" s="176"/>
      <c r="K113" s="212"/>
    </row>
    <row r="114" spans="1:11" ht="15">
      <c r="A114" s="204"/>
      <c r="B114" s="205"/>
      <c r="C114" s="175"/>
      <c r="D114" s="207"/>
      <c r="E114" s="175"/>
      <c r="F114" s="176"/>
      <c r="G114" s="206"/>
      <c r="H114" s="207"/>
      <c r="I114" s="175"/>
      <c r="J114" s="176"/>
      <c r="K114" s="212"/>
    </row>
    <row r="115" spans="1:11" ht="15">
      <c r="A115" s="204"/>
      <c r="B115" s="205"/>
      <c r="C115" s="175"/>
      <c r="D115" s="207"/>
      <c r="E115" s="175"/>
      <c r="F115" s="176"/>
      <c r="G115" s="206"/>
      <c r="H115" s="207"/>
      <c r="I115" s="175"/>
      <c r="J115" s="176"/>
      <c r="K115" s="212"/>
    </row>
    <row r="116" spans="1:11" ht="15">
      <c r="A116" s="204"/>
      <c r="B116" s="205"/>
      <c r="C116" s="175"/>
      <c r="D116" s="207"/>
      <c r="E116" s="175"/>
      <c r="F116" s="176"/>
      <c r="G116" s="206"/>
      <c r="H116" s="207"/>
      <c r="I116" s="175"/>
      <c r="J116" s="176"/>
      <c r="K116" s="212"/>
    </row>
    <row r="117" spans="1:11" ht="15">
      <c r="A117" s="204"/>
      <c r="B117" s="205"/>
      <c r="C117" s="175"/>
      <c r="D117" s="207"/>
      <c r="E117" s="175"/>
      <c r="F117" s="176"/>
      <c r="G117" s="206"/>
      <c r="H117" s="207"/>
      <c r="I117" s="175"/>
      <c r="J117" s="176"/>
      <c r="K117" s="212"/>
    </row>
    <row r="118" spans="1:11" ht="15">
      <c r="A118" s="204"/>
      <c r="B118" s="205"/>
      <c r="C118" s="175"/>
      <c r="D118" s="207"/>
      <c r="E118" s="175"/>
      <c r="F118" s="176"/>
      <c r="G118" s="206"/>
      <c r="H118" s="207"/>
      <c r="I118" s="175"/>
      <c r="J118" s="176"/>
      <c r="K118" s="212"/>
    </row>
    <row r="119" spans="1:11" ht="15">
      <c r="A119" s="204"/>
      <c r="B119" s="205"/>
      <c r="C119" s="175"/>
      <c r="D119" s="207"/>
      <c r="E119" s="175"/>
      <c r="F119" s="176"/>
      <c r="G119" s="206"/>
      <c r="H119" s="207"/>
      <c r="I119" s="175"/>
      <c r="J119" s="176"/>
      <c r="K119" s="212"/>
    </row>
    <row r="120" spans="1:11" ht="15">
      <c r="A120" s="204"/>
      <c r="B120" s="205"/>
      <c r="C120" s="175"/>
      <c r="D120" s="207"/>
      <c r="E120" s="175"/>
      <c r="F120" s="176"/>
      <c r="G120" s="206"/>
      <c r="H120" s="207"/>
      <c r="I120" s="175"/>
      <c r="J120" s="176"/>
      <c r="K120" s="212"/>
    </row>
    <row r="121" spans="1:11" ht="15">
      <c r="A121" s="204"/>
      <c r="B121" s="205"/>
      <c r="C121" s="175"/>
      <c r="D121" s="207"/>
      <c r="E121" s="175"/>
      <c r="F121" s="176"/>
      <c r="G121" s="206"/>
      <c r="H121" s="207"/>
      <c r="I121" s="175"/>
      <c r="J121" s="176"/>
      <c r="K121" s="212"/>
    </row>
    <row r="122" spans="1:11" ht="15">
      <c r="A122" s="204"/>
      <c r="B122" s="205"/>
      <c r="C122" s="175"/>
      <c r="D122" s="207"/>
      <c r="E122" s="175"/>
      <c r="F122" s="176"/>
      <c r="G122" s="206"/>
      <c r="H122" s="207"/>
      <c r="I122" s="175"/>
      <c r="J122" s="176"/>
      <c r="K122" s="212"/>
    </row>
    <row r="123" spans="1:11" ht="15">
      <c r="A123" s="204"/>
      <c r="B123" s="205"/>
      <c r="C123" s="175"/>
      <c r="D123" s="207"/>
      <c r="E123" s="175"/>
      <c r="F123" s="176"/>
      <c r="G123" s="206"/>
      <c r="H123" s="207"/>
      <c r="I123" s="175"/>
      <c r="J123" s="176"/>
      <c r="K123" s="212"/>
    </row>
    <row r="124" spans="1:11" ht="15">
      <c r="A124" s="204"/>
      <c r="B124" s="205"/>
      <c r="C124" s="175"/>
      <c r="D124" s="207"/>
      <c r="E124" s="175"/>
      <c r="F124" s="176"/>
      <c r="G124" s="206"/>
      <c r="H124" s="207"/>
      <c r="I124" s="175"/>
      <c r="J124" s="176"/>
      <c r="K124" s="212"/>
    </row>
    <row r="125" spans="1:11" ht="15">
      <c r="A125" s="204"/>
      <c r="B125" s="205"/>
      <c r="C125" s="175"/>
      <c r="D125" s="207"/>
      <c r="E125" s="175"/>
      <c r="F125" s="176"/>
      <c r="G125" s="206"/>
      <c r="H125" s="207"/>
      <c r="I125" s="175"/>
      <c r="J125" s="176"/>
      <c r="K125" s="212"/>
    </row>
    <row r="126" spans="1:11" ht="15">
      <c r="A126" s="204"/>
      <c r="B126" s="205"/>
      <c r="C126" s="175"/>
      <c r="D126" s="207"/>
      <c r="E126" s="175"/>
      <c r="F126" s="176"/>
      <c r="G126" s="206"/>
      <c r="H126" s="207"/>
      <c r="I126" s="175"/>
      <c r="J126" s="176"/>
      <c r="K126" s="212"/>
    </row>
    <row r="127" spans="1:11" ht="15">
      <c r="A127" s="204"/>
      <c r="B127" s="205"/>
      <c r="C127" s="175"/>
      <c r="D127" s="207"/>
      <c r="E127" s="175"/>
      <c r="F127" s="176"/>
      <c r="G127" s="206"/>
      <c r="H127" s="207"/>
      <c r="I127" s="175"/>
      <c r="J127" s="176"/>
      <c r="K127" s="212"/>
    </row>
    <row r="128" spans="1:11" ht="15">
      <c r="A128" s="204"/>
      <c r="B128" s="205"/>
      <c r="C128" s="175"/>
      <c r="D128" s="207"/>
      <c r="E128" s="175"/>
      <c r="F128" s="176"/>
      <c r="G128" s="206"/>
      <c r="H128" s="207"/>
      <c r="I128" s="175"/>
      <c r="J128" s="176"/>
      <c r="K128" s="212"/>
    </row>
    <row r="129" spans="1:11" ht="15">
      <c r="A129" s="204"/>
      <c r="B129" s="205"/>
      <c r="C129" s="175"/>
      <c r="D129" s="207"/>
      <c r="E129" s="175"/>
      <c r="F129" s="176"/>
      <c r="G129" s="206"/>
      <c r="H129" s="207"/>
      <c r="I129" s="175"/>
      <c r="J129" s="176"/>
      <c r="K129" s="212"/>
    </row>
    <row r="130" spans="1:11" ht="15">
      <c r="A130" s="204"/>
      <c r="B130" s="205"/>
      <c r="C130" s="175"/>
      <c r="D130" s="207"/>
      <c r="E130" s="175"/>
      <c r="F130" s="176"/>
      <c r="G130" s="206"/>
      <c r="H130" s="207"/>
      <c r="I130" s="175"/>
      <c r="J130" s="176"/>
      <c r="K130" s="212"/>
    </row>
    <row r="131" spans="1:11" ht="15">
      <c r="A131" s="204"/>
      <c r="B131" s="205"/>
      <c r="C131" s="175"/>
      <c r="D131" s="207"/>
      <c r="E131" s="175"/>
      <c r="F131" s="176"/>
      <c r="G131" s="206"/>
      <c r="H131" s="207"/>
      <c r="I131" s="175"/>
      <c r="J131" s="176"/>
      <c r="K131" s="212"/>
    </row>
    <row r="132" spans="1:11" ht="15">
      <c r="A132" s="204"/>
      <c r="B132" s="205"/>
      <c r="C132" s="175"/>
      <c r="D132" s="207"/>
      <c r="E132" s="175"/>
      <c r="F132" s="176"/>
      <c r="G132" s="206"/>
      <c r="H132" s="207"/>
      <c r="I132" s="175"/>
      <c r="J132" s="176"/>
      <c r="K132" s="212"/>
    </row>
    <row r="133" spans="1:11" ht="15">
      <c r="A133" s="204"/>
      <c r="B133" s="205"/>
      <c r="C133" s="175"/>
      <c r="D133" s="207"/>
      <c r="E133" s="175"/>
      <c r="F133" s="176"/>
      <c r="G133" s="206"/>
      <c r="H133" s="207"/>
      <c r="I133" s="175"/>
      <c r="J133" s="176"/>
      <c r="K133" s="212"/>
    </row>
    <row r="134" spans="1:11" ht="15">
      <c r="A134" s="204"/>
      <c r="B134" s="205"/>
      <c r="C134" s="175"/>
      <c r="D134" s="207"/>
      <c r="E134" s="175"/>
      <c r="F134" s="176"/>
      <c r="G134" s="206"/>
      <c r="H134" s="207"/>
      <c r="I134" s="175"/>
      <c r="J134" s="176"/>
      <c r="K134" s="212"/>
    </row>
    <row r="135" spans="1:11" ht="15">
      <c r="A135" s="204"/>
      <c r="B135" s="205"/>
      <c r="C135" s="175"/>
      <c r="D135" s="207"/>
      <c r="E135" s="175"/>
      <c r="F135" s="176"/>
      <c r="G135" s="206"/>
      <c r="H135" s="207"/>
      <c r="I135" s="175"/>
      <c r="J135" s="176"/>
      <c r="K135" s="212"/>
    </row>
    <row r="136" spans="1:11" ht="15">
      <c r="A136" s="204"/>
      <c r="B136" s="205"/>
      <c r="C136" s="175"/>
      <c r="D136" s="207"/>
      <c r="E136" s="175"/>
      <c r="F136" s="176"/>
      <c r="G136" s="206"/>
      <c r="H136" s="207"/>
      <c r="I136" s="175"/>
      <c r="J136" s="176"/>
      <c r="K136" s="212"/>
    </row>
    <row r="137" spans="1:11" ht="15">
      <c r="A137" s="204"/>
      <c r="B137" s="205"/>
      <c r="C137" s="175"/>
      <c r="D137" s="207"/>
      <c r="E137" s="175"/>
      <c r="F137" s="176"/>
      <c r="G137" s="206"/>
      <c r="H137" s="207"/>
      <c r="I137" s="175"/>
      <c r="J137" s="176"/>
      <c r="K137" s="212"/>
    </row>
    <row r="138" spans="1:11" ht="15">
      <c r="A138" s="204"/>
      <c r="B138" s="205"/>
      <c r="C138" s="175"/>
      <c r="D138" s="207"/>
      <c r="E138" s="175"/>
      <c r="F138" s="176"/>
      <c r="G138" s="206"/>
      <c r="H138" s="207"/>
      <c r="I138" s="175"/>
      <c r="J138" s="176"/>
      <c r="K138" s="212"/>
    </row>
    <row r="139" spans="1:11" ht="15">
      <c r="A139" s="204"/>
      <c r="B139" s="205"/>
      <c r="C139" s="175"/>
      <c r="D139" s="207"/>
      <c r="E139" s="175"/>
      <c r="F139" s="176"/>
      <c r="G139" s="206"/>
      <c r="H139" s="207"/>
      <c r="I139" s="175"/>
      <c r="J139" s="176"/>
      <c r="K139" s="212"/>
    </row>
    <row r="140" spans="1:11" ht="15">
      <c r="A140" s="204"/>
      <c r="B140" s="205"/>
      <c r="C140" s="175"/>
      <c r="D140" s="207"/>
      <c r="E140" s="175"/>
      <c r="F140" s="176"/>
      <c r="G140" s="206"/>
      <c r="H140" s="207"/>
      <c r="I140" s="175"/>
      <c r="J140" s="176"/>
      <c r="K140" s="212"/>
    </row>
    <row r="141" spans="1:11" ht="15">
      <c r="A141" s="204"/>
      <c r="B141" s="205"/>
      <c r="C141" s="175"/>
      <c r="D141" s="207"/>
      <c r="E141" s="175"/>
      <c r="F141" s="176"/>
      <c r="G141" s="206"/>
      <c r="H141" s="207"/>
      <c r="I141" s="175"/>
      <c r="J141" s="176"/>
      <c r="K141" s="212"/>
    </row>
    <row r="142" spans="1:11" ht="15">
      <c r="A142" s="204"/>
      <c r="B142" s="205"/>
      <c r="C142" s="175"/>
      <c r="D142" s="207"/>
      <c r="E142" s="175"/>
      <c r="F142" s="176"/>
      <c r="G142" s="206"/>
      <c r="H142" s="207"/>
      <c r="I142" s="175"/>
      <c r="J142" s="176"/>
      <c r="K142" s="212"/>
    </row>
    <row r="143" spans="1:11" ht="15">
      <c r="A143" s="204"/>
      <c r="B143" s="205"/>
      <c r="C143" s="175"/>
      <c r="D143" s="207"/>
      <c r="E143" s="175"/>
      <c r="F143" s="176"/>
      <c r="G143" s="206"/>
      <c r="H143" s="207"/>
      <c r="I143" s="175"/>
      <c r="J143" s="176"/>
      <c r="K143" s="212"/>
    </row>
    <row r="144" spans="1:11" ht="15">
      <c r="A144" s="204"/>
      <c r="B144" s="205"/>
      <c r="C144" s="175"/>
      <c r="D144" s="207"/>
      <c r="E144" s="175"/>
      <c r="F144" s="176"/>
      <c r="G144" s="206"/>
      <c r="H144" s="207"/>
      <c r="I144" s="175"/>
      <c r="J144" s="176"/>
      <c r="K144" s="212"/>
    </row>
    <row r="145" spans="1:11" ht="15">
      <c r="A145" s="204"/>
      <c r="B145" s="205"/>
      <c r="C145" s="175"/>
      <c r="D145" s="207"/>
      <c r="E145" s="175"/>
      <c r="F145" s="176"/>
      <c r="G145" s="206"/>
      <c r="H145" s="207"/>
      <c r="I145" s="175"/>
      <c r="J145" s="176"/>
      <c r="K145" s="212"/>
    </row>
    <row r="146" spans="1:11" ht="15">
      <c r="A146" s="204"/>
      <c r="B146" s="205"/>
      <c r="C146" s="175"/>
      <c r="D146" s="207"/>
      <c r="E146" s="175"/>
      <c r="F146" s="176"/>
      <c r="G146" s="206"/>
      <c r="H146" s="207"/>
      <c r="I146" s="175"/>
      <c r="J146" s="176"/>
      <c r="K146" s="212"/>
    </row>
    <row r="147" spans="1:11" ht="15">
      <c r="A147" s="204"/>
      <c r="B147" s="205"/>
      <c r="C147" s="175"/>
      <c r="D147" s="207"/>
      <c r="E147" s="175"/>
      <c r="F147" s="176"/>
      <c r="G147" s="206"/>
      <c r="H147" s="207"/>
      <c r="I147" s="175"/>
      <c r="J147" s="176"/>
      <c r="K147" s="212"/>
    </row>
    <row r="148" spans="1:11" ht="15">
      <c r="A148" s="204"/>
      <c r="B148" s="205"/>
      <c r="C148" s="175"/>
      <c r="D148" s="207"/>
      <c r="E148" s="175"/>
      <c r="F148" s="176"/>
      <c r="G148" s="206"/>
      <c r="H148" s="207"/>
      <c r="I148" s="175"/>
      <c r="J148" s="176"/>
      <c r="K148" s="212"/>
    </row>
    <row r="149" spans="1:11" ht="15">
      <c r="A149" s="204"/>
      <c r="B149" s="205"/>
      <c r="C149" s="175"/>
      <c r="D149" s="207"/>
      <c r="E149" s="175"/>
      <c r="F149" s="176"/>
      <c r="G149" s="206"/>
      <c r="H149" s="207"/>
      <c r="I149" s="175"/>
      <c r="J149" s="176"/>
      <c r="K149" s="212"/>
    </row>
    <row r="150" spans="1:11" ht="15">
      <c r="A150" s="204"/>
      <c r="B150" s="205"/>
      <c r="C150" s="175"/>
      <c r="D150" s="207"/>
      <c r="E150" s="175"/>
      <c r="F150" s="176"/>
      <c r="G150" s="206"/>
      <c r="H150" s="207"/>
      <c r="I150" s="175"/>
      <c r="J150" s="176"/>
      <c r="K150" s="212"/>
    </row>
    <row r="151" spans="1:11" ht="15">
      <c r="A151" s="204"/>
      <c r="B151" s="205"/>
      <c r="C151" s="175"/>
      <c r="D151" s="207"/>
      <c r="E151" s="175"/>
      <c r="F151" s="176"/>
      <c r="G151" s="206"/>
      <c r="H151" s="207"/>
      <c r="I151" s="175"/>
      <c r="J151" s="176"/>
      <c r="K151" s="212"/>
    </row>
    <row r="152" spans="1:11" ht="15">
      <c r="A152" s="204"/>
      <c r="B152" s="205"/>
      <c r="C152" s="175"/>
      <c r="D152" s="207"/>
      <c r="E152" s="175"/>
      <c r="F152" s="176"/>
      <c r="G152" s="206"/>
      <c r="H152" s="207"/>
      <c r="I152" s="175"/>
      <c r="J152" s="176"/>
      <c r="K152" s="212"/>
    </row>
    <row r="153" spans="1:11" ht="13.5">
      <c r="A153" s="164"/>
      <c r="B153" s="164"/>
      <c r="C153" s="165"/>
      <c r="D153" s="164"/>
      <c r="E153" s="165"/>
      <c r="F153" s="164"/>
      <c r="G153" s="162"/>
      <c r="H153" s="164"/>
      <c r="I153" s="165"/>
      <c r="J153" s="164"/>
      <c r="K153" s="162"/>
    </row>
    <row r="154" spans="1:11" ht="13.5">
      <c r="A154" s="156"/>
      <c r="B154" s="164"/>
      <c r="C154" s="159"/>
      <c r="D154" s="156"/>
      <c r="E154" s="159"/>
      <c r="F154" s="156"/>
      <c r="G154" s="161"/>
      <c r="H154" s="156"/>
      <c r="I154" s="159"/>
      <c r="J154" s="156"/>
      <c r="K154" s="161"/>
    </row>
    <row r="155" spans="1:11" ht="13.5">
      <c r="A155" s="156"/>
      <c r="B155" s="164"/>
      <c r="C155" s="159"/>
      <c r="D155" s="156"/>
      <c r="E155" s="159"/>
      <c r="F155" s="156"/>
      <c r="G155" s="161"/>
      <c r="H155" s="156"/>
      <c r="I155" s="159"/>
      <c r="J155" s="156"/>
      <c r="K155" s="161"/>
    </row>
    <row r="156" spans="1:11" ht="13.5">
      <c r="A156" s="156"/>
      <c r="B156" s="164"/>
      <c r="C156" s="159"/>
      <c r="D156" s="156"/>
      <c r="E156" s="159"/>
      <c r="F156" s="156"/>
      <c r="G156" s="161"/>
      <c r="H156" s="156"/>
      <c r="I156" s="159"/>
      <c r="J156" s="156"/>
      <c r="K156" s="161"/>
    </row>
    <row r="157" spans="1:11" ht="13.5">
      <c r="A157" s="156"/>
      <c r="B157" s="164"/>
      <c r="C157" s="159"/>
      <c r="D157" s="156"/>
      <c r="E157" s="159"/>
      <c r="F157" s="156"/>
      <c r="G157" s="161"/>
      <c r="H157" s="156"/>
      <c r="I157" s="159"/>
      <c r="J157" s="156"/>
      <c r="K157" s="161"/>
    </row>
    <row r="158" spans="1:11" ht="13.5">
      <c r="A158" s="156"/>
      <c r="B158" s="164"/>
      <c r="C158" s="159"/>
      <c r="D158" s="156"/>
      <c r="E158" s="159"/>
      <c r="F158" s="156"/>
      <c r="G158" s="161"/>
      <c r="H158" s="156"/>
      <c r="I158" s="159"/>
      <c r="J158" s="156"/>
      <c r="K158" s="161"/>
    </row>
    <row r="159" spans="1:11" ht="13.5">
      <c r="A159" s="164"/>
      <c r="B159" s="164"/>
      <c r="C159" s="165"/>
      <c r="D159" s="164"/>
      <c r="E159" s="165"/>
      <c r="F159" s="164"/>
      <c r="G159" s="162"/>
      <c r="H159" s="164"/>
      <c r="I159" s="165"/>
      <c r="J159" s="164"/>
      <c r="K159" s="162"/>
    </row>
    <row r="160" spans="1:11" ht="13.5">
      <c r="A160" s="156"/>
      <c r="B160" s="164"/>
      <c r="C160" s="159"/>
      <c r="D160" s="156"/>
      <c r="E160" s="159"/>
      <c r="F160" s="156"/>
      <c r="G160" s="161"/>
      <c r="H160" s="156"/>
      <c r="I160" s="159"/>
      <c r="J160" s="156"/>
      <c r="K160" s="161"/>
    </row>
    <row r="161" spans="1:11" ht="13.5">
      <c r="A161" s="156"/>
      <c r="B161" s="164"/>
      <c r="C161" s="159"/>
      <c r="D161" s="156"/>
      <c r="E161" s="159"/>
      <c r="F161" s="156"/>
      <c r="G161" s="161"/>
      <c r="H161" s="156"/>
      <c r="I161" s="159"/>
      <c r="J161" s="156"/>
      <c r="K161" s="161"/>
    </row>
    <row r="162" spans="1:11" ht="13.5">
      <c r="A162" s="156"/>
      <c r="B162" s="164"/>
      <c r="C162" s="159"/>
      <c r="D162" s="156"/>
      <c r="E162" s="159"/>
      <c r="F162" s="156"/>
      <c r="G162" s="161"/>
      <c r="H162" s="156"/>
      <c r="I162" s="159"/>
      <c r="J162" s="156"/>
      <c r="K162" s="161"/>
    </row>
    <row r="163" spans="1:11" ht="13.5">
      <c r="A163" s="156"/>
      <c r="B163" s="164"/>
      <c r="C163" s="159"/>
      <c r="D163" s="156"/>
      <c r="E163" s="159"/>
      <c r="F163" s="156"/>
      <c r="G163" s="161"/>
      <c r="H163" s="156"/>
      <c r="I163" s="159"/>
      <c r="J163" s="156"/>
      <c r="K163" s="161"/>
    </row>
    <row r="164" spans="1:11" ht="13.5">
      <c r="A164" s="156"/>
      <c r="B164" s="164"/>
      <c r="C164" s="159"/>
      <c r="D164" s="156"/>
      <c r="E164" s="159"/>
      <c r="F164" s="156"/>
      <c r="G164" s="161"/>
      <c r="H164" s="156"/>
      <c r="I164" s="159"/>
      <c r="J164" s="156"/>
      <c r="K164" s="161"/>
    </row>
    <row r="165" spans="1:11" ht="13.5">
      <c r="A165" s="156"/>
      <c r="B165" s="164"/>
      <c r="C165" s="159"/>
      <c r="D165" s="156"/>
      <c r="E165" s="159"/>
      <c r="F165" s="156"/>
      <c r="G165" s="161"/>
      <c r="H165" s="156"/>
      <c r="I165" s="159"/>
      <c r="J165" s="156"/>
      <c r="K165" s="161"/>
    </row>
    <row r="166" spans="1:11" ht="13.5">
      <c r="A166" s="156"/>
      <c r="B166" s="164"/>
      <c r="C166" s="159"/>
      <c r="D166" s="156"/>
      <c r="E166" s="159"/>
      <c r="F166" s="156"/>
      <c r="G166" s="161"/>
      <c r="H166" s="156"/>
      <c r="I166" s="159"/>
      <c r="J166" s="156"/>
      <c r="K166" s="161"/>
    </row>
    <row r="167" spans="1:11" ht="13.5">
      <c r="A167" s="156"/>
      <c r="B167" s="164"/>
      <c r="C167" s="159"/>
      <c r="D167" s="156"/>
      <c r="E167" s="159"/>
      <c r="F167" s="156"/>
      <c r="G167" s="161"/>
      <c r="H167" s="156"/>
      <c r="I167" s="159"/>
      <c r="J167" s="156"/>
      <c r="K167" s="161"/>
    </row>
    <row r="168" spans="1:11" ht="13.5">
      <c r="A168" s="156"/>
      <c r="B168" s="164"/>
      <c r="C168" s="159"/>
      <c r="D168" s="156"/>
      <c r="E168" s="159"/>
      <c r="F168" s="156"/>
      <c r="G168" s="161"/>
      <c r="H168" s="156"/>
      <c r="I168" s="159"/>
      <c r="J168" s="156"/>
      <c r="K168" s="161"/>
    </row>
    <row r="169" spans="1:11" ht="13.5">
      <c r="A169" s="156"/>
      <c r="B169" s="164"/>
      <c r="C169" s="159"/>
      <c r="D169" s="156"/>
      <c r="E169" s="159"/>
      <c r="F169" s="156"/>
      <c r="G169" s="161"/>
      <c r="H169" s="156"/>
      <c r="I169" s="159"/>
      <c r="J169" s="156"/>
      <c r="K169" s="161"/>
    </row>
    <row r="170" spans="1:11" ht="13.5">
      <c r="A170" s="156"/>
      <c r="B170" s="164"/>
      <c r="C170" s="159"/>
      <c r="D170" s="156"/>
      <c r="E170" s="159"/>
      <c r="F170" s="156"/>
      <c r="G170" s="161"/>
      <c r="H170" s="156"/>
      <c r="I170" s="159"/>
      <c r="J170" s="156"/>
      <c r="K170" s="161"/>
    </row>
    <row r="171" spans="1:11" ht="13.5">
      <c r="A171" s="164"/>
      <c r="B171" s="164"/>
      <c r="C171" s="165"/>
      <c r="D171" s="164"/>
      <c r="E171" s="165"/>
      <c r="F171" s="164"/>
      <c r="G171" s="162"/>
      <c r="H171" s="164"/>
      <c r="I171" s="165"/>
      <c r="J171" s="164"/>
      <c r="K171" s="162"/>
    </row>
    <row r="172" spans="1:11" ht="13.5">
      <c r="A172" s="156"/>
      <c r="B172" s="164"/>
      <c r="C172" s="159"/>
      <c r="D172" s="156"/>
      <c r="E172" s="159"/>
      <c r="F172" s="156"/>
      <c r="G172" s="161"/>
      <c r="H172" s="156"/>
      <c r="I172" s="159"/>
      <c r="J172" s="156"/>
      <c r="K172" s="161"/>
    </row>
    <row r="173" spans="1:11" ht="13.5">
      <c r="A173" s="156"/>
      <c r="B173" s="164"/>
      <c r="C173" s="159"/>
      <c r="D173" s="156"/>
      <c r="E173" s="159"/>
      <c r="F173" s="156"/>
      <c r="G173" s="161"/>
      <c r="H173" s="156"/>
      <c r="I173" s="159"/>
      <c r="J173" s="156"/>
      <c r="K173" s="161"/>
    </row>
    <row r="174" spans="1:11" ht="13.5">
      <c r="A174" s="156"/>
      <c r="B174" s="164"/>
      <c r="C174" s="159"/>
      <c r="D174" s="156"/>
      <c r="E174" s="159"/>
      <c r="F174" s="156"/>
      <c r="G174" s="161"/>
      <c r="H174" s="156"/>
      <c r="I174" s="159"/>
      <c r="J174" s="156"/>
      <c r="K174" s="161"/>
    </row>
    <row r="175" spans="1:11" ht="13.5">
      <c r="A175" s="156"/>
      <c r="B175" s="164"/>
      <c r="C175" s="159"/>
      <c r="D175" s="156"/>
      <c r="E175" s="159"/>
      <c r="F175" s="156"/>
      <c r="G175" s="161"/>
      <c r="H175" s="156"/>
      <c r="I175" s="159"/>
      <c r="J175" s="156"/>
      <c r="K175" s="161"/>
    </row>
    <row r="176" spans="1:11" ht="13.5">
      <c r="A176" s="156"/>
      <c r="B176" s="164"/>
      <c r="C176" s="159"/>
      <c r="D176" s="156"/>
      <c r="E176" s="159"/>
      <c r="F176" s="156"/>
      <c r="G176" s="161"/>
      <c r="H176" s="156"/>
      <c r="I176" s="159"/>
      <c r="J176" s="156"/>
      <c r="K176" s="161"/>
    </row>
    <row r="177" spans="1:11" ht="13.5">
      <c r="A177" s="156"/>
      <c r="B177" s="164"/>
      <c r="C177" s="159"/>
      <c r="D177" s="156"/>
      <c r="E177" s="159"/>
      <c r="F177" s="156"/>
      <c r="G177" s="161"/>
      <c r="H177" s="156"/>
      <c r="I177" s="159"/>
      <c r="J177" s="156"/>
      <c r="K177" s="161"/>
    </row>
    <row r="178" spans="1:11" ht="13.5">
      <c r="A178" s="156"/>
      <c r="B178" s="164"/>
      <c r="C178" s="159"/>
      <c r="D178" s="156"/>
      <c r="E178" s="159"/>
      <c r="F178" s="156"/>
      <c r="G178" s="161"/>
      <c r="H178" s="156"/>
      <c r="I178" s="159"/>
      <c r="J178" s="156"/>
      <c r="K178" s="161"/>
    </row>
    <row r="179" spans="1:11" ht="13.5">
      <c r="A179" s="156"/>
      <c r="B179" s="164"/>
      <c r="C179" s="159"/>
      <c r="D179" s="156"/>
      <c r="E179" s="159"/>
      <c r="F179" s="156"/>
      <c r="G179" s="161"/>
      <c r="H179" s="156"/>
      <c r="I179" s="159"/>
      <c r="J179" s="156"/>
      <c r="K179" s="161"/>
    </row>
    <row r="180" spans="1:11" ht="13.5">
      <c r="A180" s="156"/>
      <c r="B180" s="164"/>
      <c r="C180" s="159"/>
      <c r="D180" s="156"/>
      <c r="E180" s="159"/>
      <c r="F180" s="156"/>
      <c r="G180" s="161"/>
      <c r="H180" s="156"/>
      <c r="I180" s="159"/>
      <c r="J180" s="156"/>
      <c r="K180" s="161"/>
    </row>
    <row r="181" spans="1:11" ht="13.5">
      <c r="A181" s="156"/>
      <c r="B181" s="164"/>
      <c r="C181" s="159"/>
      <c r="D181" s="156"/>
      <c r="E181" s="159"/>
      <c r="F181" s="156"/>
      <c r="G181" s="161"/>
      <c r="H181" s="156"/>
      <c r="I181" s="159"/>
      <c r="J181" s="156"/>
      <c r="K181" s="161"/>
    </row>
    <row r="182" spans="1:11" ht="13.5">
      <c r="A182" s="156"/>
      <c r="B182" s="164"/>
      <c r="C182" s="159"/>
      <c r="D182" s="156"/>
      <c r="E182" s="159"/>
      <c r="F182" s="156"/>
      <c r="G182" s="161"/>
      <c r="H182" s="156"/>
      <c r="I182" s="159"/>
      <c r="J182" s="156"/>
      <c r="K182" s="161"/>
    </row>
    <row r="183" spans="1:11" ht="13.5">
      <c r="A183" s="164"/>
      <c r="B183" s="164"/>
      <c r="C183" s="159"/>
      <c r="D183" s="156"/>
      <c r="E183" s="159"/>
      <c r="F183" s="156"/>
      <c r="G183" s="161"/>
      <c r="H183" s="156"/>
      <c r="I183" s="159"/>
      <c r="J183" s="156"/>
      <c r="K183" s="161"/>
    </row>
    <row r="184" spans="1:11" ht="13.5">
      <c r="A184" s="156"/>
      <c r="B184" s="164"/>
      <c r="C184" s="159"/>
      <c r="D184" s="156"/>
      <c r="E184" s="163"/>
      <c r="F184" s="168"/>
      <c r="G184" s="161"/>
      <c r="H184" s="156"/>
      <c r="I184" s="159"/>
      <c r="J184" s="156"/>
      <c r="K184" s="161"/>
    </row>
    <row r="185" spans="1:11" ht="13.5">
      <c r="A185" s="156"/>
      <c r="B185" s="164"/>
      <c r="C185" s="159"/>
      <c r="D185" s="156"/>
      <c r="E185" s="163"/>
      <c r="F185" s="168"/>
      <c r="G185" s="161"/>
      <c r="H185" s="156"/>
      <c r="I185" s="159"/>
      <c r="J185" s="156"/>
      <c r="K185" s="161"/>
    </row>
    <row r="186" spans="1:11" ht="13.5">
      <c r="A186" s="156"/>
      <c r="B186" s="164"/>
      <c r="C186" s="159"/>
      <c r="D186" s="156"/>
      <c r="E186" s="163"/>
      <c r="F186" s="168"/>
      <c r="G186" s="161"/>
      <c r="H186" s="156"/>
      <c r="I186" s="159"/>
      <c r="J186" s="156"/>
      <c r="K186" s="161"/>
    </row>
    <row r="187" spans="1:11" ht="13.5">
      <c r="A187" s="156"/>
      <c r="B187" s="164"/>
      <c r="C187" s="159"/>
      <c r="D187" s="156"/>
      <c r="E187" s="163"/>
      <c r="F187" s="168"/>
      <c r="G187" s="161"/>
      <c r="H187" s="156"/>
      <c r="I187" s="159"/>
      <c r="J187" s="156"/>
      <c r="K187" s="161"/>
    </row>
    <row r="188" spans="1:11" ht="13.5">
      <c r="A188" s="156"/>
      <c r="B188" s="164"/>
      <c r="C188" s="159"/>
      <c r="D188" s="156"/>
      <c r="E188" s="163"/>
      <c r="F188" s="168"/>
      <c r="G188" s="161"/>
      <c r="H188" s="156"/>
      <c r="I188" s="159"/>
      <c r="J188" s="156"/>
      <c r="K188" s="161"/>
    </row>
    <row r="189" spans="1:11" ht="13.5">
      <c r="A189" s="156"/>
      <c r="B189" s="164"/>
      <c r="C189" s="159"/>
      <c r="D189" s="156"/>
      <c r="E189" s="163"/>
      <c r="F189" s="156"/>
      <c r="G189" s="161"/>
      <c r="H189" s="156"/>
      <c r="I189" s="159"/>
      <c r="J189" s="156"/>
      <c r="K189" s="161"/>
    </row>
    <row r="190" spans="1:11" ht="13.5">
      <c r="A190" s="156"/>
      <c r="B190" s="164"/>
      <c r="C190" s="159"/>
      <c r="D190" s="156"/>
      <c r="E190" s="163"/>
      <c r="F190" s="156"/>
      <c r="G190" s="161"/>
      <c r="H190" s="156"/>
      <c r="I190" s="159"/>
      <c r="J190" s="156"/>
      <c r="K190" s="161"/>
    </row>
    <row r="191" spans="1:11" ht="13.5">
      <c r="A191" s="156"/>
      <c r="B191" s="164"/>
      <c r="C191" s="159"/>
      <c r="D191" s="156"/>
      <c r="E191" s="163"/>
      <c r="F191" s="156"/>
      <c r="G191" s="161"/>
      <c r="H191" s="156"/>
      <c r="I191" s="159"/>
      <c r="J191" s="156"/>
      <c r="K191" s="161"/>
    </row>
    <row r="192" spans="1:11" ht="13.5">
      <c r="A192" s="156"/>
      <c r="B192" s="164"/>
      <c r="C192" s="159"/>
      <c r="D192" s="156"/>
      <c r="E192" s="163"/>
      <c r="F192" s="156"/>
      <c r="G192" s="161"/>
      <c r="H192" s="156"/>
      <c r="I192" s="159"/>
      <c r="J192" s="156"/>
      <c r="K192" s="161"/>
    </row>
    <row r="193" spans="1:11" ht="13.5">
      <c r="A193" s="156"/>
      <c r="B193" s="164"/>
      <c r="C193" s="159"/>
      <c r="D193" s="156"/>
      <c r="E193" s="159"/>
      <c r="F193" s="156"/>
      <c r="G193" s="161"/>
      <c r="H193" s="156"/>
      <c r="I193" s="159"/>
      <c r="J193" s="156"/>
      <c r="K193" s="161"/>
    </row>
    <row r="194" spans="1:11" ht="13.5">
      <c r="A194" s="156"/>
      <c r="B194" s="164"/>
      <c r="C194" s="159"/>
      <c r="D194" s="156"/>
      <c r="E194" s="159"/>
      <c r="F194" s="156"/>
      <c r="G194" s="161"/>
      <c r="H194" s="156"/>
      <c r="I194" s="159"/>
      <c r="J194" s="156"/>
      <c r="K194" s="161"/>
    </row>
    <row r="195" spans="1:11" ht="13.5">
      <c r="A195" s="156"/>
      <c r="B195" s="164"/>
      <c r="C195" s="159"/>
      <c r="D195" s="156"/>
      <c r="E195" s="159"/>
      <c r="F195" s="156"/>
      <c r="G195" s="161"/>
      <c r="H195" s="156"/>
      <c r="I195" s="159"/>
      <c r="J195" s="156"/>
      <c r="K195" s="161"/>
    </row>
    <row r="196" spans="1:11" ht="13.5">
      <c r="A196" s="156"/>
      <c r="B196" s="164"/>
      <c r="C196" s="159"/>
      <c r="D196" s="156"/>
      <c r="E196" s="159"/>
      <c r="F196" s="156"/>
      <c r="G196" s="161"/>
      <c r="H196" s="156"/>
      <c r="I196" s="159"/>
      <c r="J196" s="156"/>
      <c r="K196" s="161"/>
    </row>
    <row r="197" spans="1:11" ht="13.5">
      <c r="A197" s="156"/>
      <c r="B197" s="164"/>
      <c r="C197" s="159"/>
      <c r="D197" s="156"/>
      <c r="E197" s="159"/>
      <c r="F197" s="156"/>
      <c r="G197" s="161"/>
      <c r="H197" s="156"/>
      <c r="I197" s="159"/>
      <c r="J197" s="156"/>
      <c r="K197" s="161"/>
    </row>
    <row r="198" spans="1:11" ht="13.5">
      <c r="A198" s="156"/>
      <c r="B198" s="164"/>
      <c r="C198" s="159"/>
      <c r="D198" s="156"/>
      <c r="E198" s="159"/>
      <c r="F198" s="156"/>
      <c r="G198" s="161"/>
      <c r="H198" s="156"/>
      <c r="I198" s="159"/>
      <c r="J198" s="156"/>
      <c r="K198" s="161"/>
    </row>
    <row r="199" spans="1:11" ht="13.5">
      <c r="A199" s="156"/>
      <c r="B199" s="164"/>
      <c r="C199" s="159"/>
      <c r="D199" s="156"/>
      <c r="E199" s="159"/>
      <c r="F199" s="156"/>
      <c r="G199" s="161"/>
      <c r="H199" s="156"/>
      <c r="I199" s="159"/>
      <c r="J199" s="156"/>
      <c r="K199" s="161"/>
    </row>
    <row r="200" spans="1:11" ht="13.5">
      <c r="A200" s="156"/>
      <c r="B200" s="164"/>
      <c r="C200" s="159"/>
      <c r="D200" s="156"/>
      <c r="E200" s="159"/>
      <c r="F200" s="156"/>
      <c r="G200" s="161"/>
      <c r="H200" s="156"/>
      <c r="I200" s="159"/>
      <c r="J200" s="156"/>
      <c r="K200" s="161"/>
    </row>
    <row r="201" spans="1:11" ht="13.5">
      <c r="A201" s="156"/>
      <c r="B201" s="164"/>
      <c r="C201" s="159"/>
      <c r="D201" s="156"/>
      <c r="E201" s="159"/>
      <c r="F201" s="156"/>
      <c r="G201" s="161"/>
      <c r="H201" s="156"/>
      <c r="I201" s="159"/>
      <c r="J201" s="156"/>
      <c r="K201" s="161"/>
    </row>
    <row r="202" spans="1:11" ht="13.5">
      <c r="A202" s="156"/>
      <c r="B202" s="164"/>
      <c r="C202" s="159"/>
      <c r="D202" s="156"/>
      <c r="E202" s="159"/>
      <c r="F202" s="156"/>
      <c r="G202" s="161"/>
      <c r="H202" s="156"/>
      <c r="I202" s="159"/>
      <c r="J202" s="156"/>
      <c r="K202" s="161"/>
    </row>
    <row r="203" spans="1:11" ht="13.5">
      <c r="A203" s="156"/>
      <c r="B203" s="164"/>
      <c r="C203" s="159"/>
      <c r="D203" s="156"/>
      <c r="E203" s="159"/>
      <c r="F203" s="156"/>
      <c r="G203" s="161"/>
      <c r="H203" s="156"/>
      <c r="I203" s="159"/>
      <c r="J203" s="156"/>
      <c r="K203" s="161"/>
    </row>
    <row r="204" spans="1:11" ht="13.5">
      <c r="A204" s="156"/>
      <c r="B204" s="164"/>
      <c r="C204" s="159"/>
      <c r="D204" s="156"/>
      <c r="E204" s="159"/>
      <c r="F204" s="156"/>
      <c r="G204" s="161"/>
      <c r="H204" s="156"/>
      <c r="I204" s="159"/>
      <c r="J204" s="156"/>
      <c r="K204" s="161"/>
    </row>
    <row r="205" spans="1:11" ht="13.5">
      <c r="A205" s="156"/>
      <c r="B205" s="164"/>
      <c r="C205" s="159"/>
      <c r="D205" s="156"/>
      <c r="E205" s="159"/>
      <c r="F205" s="156"/>
      <c r="G205" s="161"/>
      <c r="H205" s="156"/>
      <c r="I205" s="159"/>
      <c r="J205" s="156"/>
      <c r="K205" s="161"/>
    </row>
    <row r="206" spans="1:11" ht="13.5">
      <c r="A206" s="164"/>
      <c r="B206" s="164"/>
      <c r="C206" s="159"/>
      <c r="D206" s="156"/>
      <c r="E206" s="159"/>
      <c r="F206" s="156"/>
      <c r="G206" s="161"/>
      <c r="H206" s="156"/>
      <c r="I206" s="159"/>
      <c r="J206" s="156"/>
      <c r="K206" s="161"/>
    </row>
    <row r="207" spans="1:11" ht="13.5">
      <c r="A207" s="156"/>
      <c r="B207" s="164"/>
      <c r="C207" s="159"/>
      <c r="D207" s="156"/>
      <c r="E207" s="159"/>
      <c r="F207" s="156"/>
      <c r="G207" s="161"/>
      <c r="H207" s="156"/>
      <c r="I207" s="159"/>
      <c r="J207" s="156"/>
      <c r="K207" s="161"/>
    </row>
    <row r="208" spans="1:11" ht="13.5">
      <c r="A208" s="156"/>
      <c r="B208" s="164"/>
      <c r="C208" s="159"/>
      <c r="D208" s="156"/>
      <c r="E208" s="159"/>
      <c r="F208" s="156"/>
      <c r="G208" s="161"/>
      <c r="H208" s="156"/>
      <c r="I208" s="159"/>
      <c r="J208" s="156"/>
      <c r="K208" s="161"/>
    </row>
    <row r="209" spans="1:11" ht="13.5">
      <c r="A209" s="156"/>
      <c r="B209" s="164"/>
      <c r="C209" s="159"/>
      <c r="D209" s="156"/>
      <c r="E209" s="159"/>
      <c r="F209" s="156"/>
      <c r="G209" s="161"/>
      <c r="H209" s="156"/>
      <c r="I209" s="159"/>
      <c r="J209" s="156"/>
      <c r="K209" s="161"/>
    </row>
    <row r="210" spans="1:11" ht="13.5">
      <c r="A210" s="156"/>
      <c r="B210" s="164"/>
      <c r="C210" s="159"/>
      <c r="D210" s="156"/>
      <c r="E210" s="159"/>
      <c r="F210" s="156"/>
      <c r="G210" s="161"/>
      <c r="H210" s="156"/>
      <c r="I210" s="159"/>
      <c r="J210" s="156"/>
      <c r="K210" s="161"/>
    </row>
    <row r="211" spans="1:11" ht="13.5">
      <c r="A211" s="156"/>
      <c r="B211" s="164"/>
      <c r="C211" s="159"/>
      <c r="D211" s="156"/>
      <c r="E211" s="159"/>
      <c r="F211" s="156"/>
      <c r="G211" s="161"/>
      <c r="H211" s="156"/>
      <c r="I211" s="159"/>
      <c r="J211" s="156"/>
      <c r="K211" s="161"/>
    </row>
    <row r="212" spans="1:11" ht="13.5">
      <c r="A212" s="156"/>
      <c r="B212" s="164"/>
      <c r="C212" s="159"/>
      <c r="D212" s="156"/>
      <c r="E212" s="159"/>
      <c r="F212" s="156"/>
      <c r="G212" s="161"/>
      <c r="H212" s="156"/>
      <c r="I212" s="159"/>
      <c r="J212" s="156"/>
      <c r="K212" s="161"/>
    </row>
    <row r="213" spans="1:11" ht="13.5">
      <c r="A213" s="156"/>
      <c r="B213" s="164"/>
      <c r="C213" s="159"/>
      <c r="D213" s="156"/>
      <c r="E213" s="159"/>
      <c r="F213" s="156"/>
      <c r="G213" s="161"/>
      <c r="H213" s="156"/>
      <c r="I213" s="159"/>
      <c r="J213" s="156"/>
      <c r="K213" s="161"/>
    </row>
    <row r="214" spans="1:11" ht="13.5">
      <c r="A214" s="156"/>
      <c r="B214" s="164"/>
      <c r="C214" s="159"/>
      <c r="D214" s="156"/>
      <c r="E214" s="159"/>
      <c r="F214" s="156"/>
      <c r="G214" s="161"/>
      <c r="H214" s="156"/>
      <c r="I214" s="159"/>
      <c r="J214" s="156"/>
      <c r="K214" s="161"/>
    </row>
    <row r="215" spans="1:11" ht="13.5">
      <c r="A215" s="156"/>
      <c r="B215" s="164"/>
      <c r="C215" s="159"/>
      <c r="D215" s="156"/>
      <c r="E215" s="159"/>
      <c r="F215" s="156"/>
      <c r="G215" s="161"/>
      <c r="H215" s="156"/>
      <c r="I215" s="159"/>
      <c r="J215" s="156"/>
      <c r="K215" s="161"/>
    </row>
    <row r="216" spans="1:11" ht="13.5">
      <c r="A216" s="156"/>
      <c r="B216" s="164"/>
      <c r="C216" s="159"/>
      <c r="D216" s="156"/>
      <c r="E216" s="163"/>
      <c r="F216" s="156"/>
      <c r="G216" s="161"/>
      <c r="H216" s="156"/>
      <c r="I216" s="159"/>
      <c r="J216" s="156"/>
      <c r="K216" s="161"/>
    </row>
    <row r="217" spans="1:11" ht="13.5">
      <c r="A217" s="156"/>
      <c r="B217" s="164"/>
      <c r="C217" s="159"/>
      <c r="D217" s="156"/>
      <c r="E217" s="163"/>
      <c r="F217" s="156"/>
      <c r="G217" s="161"/>
      <c r="H217" s="156"/>
      <c r="I217" s="159"/>
      <c r="J217" s="156"/>
      <c r="K217" s="161"/>
    </row>
    <row r="218" spans="1:11" ht="13.5">
      <c r="A218" s="156"/>
      <c r="B218" s="164"/>
      <c r="C218" s="159"/>
      <c r="D218" s="156"/>
      <c r="E218" s="163"/>
      <c r="F218" s="156"/>
      <c r="G218" s="161"/>
      <c r="H218" s="156"/>
      <c r="I218" s="159"/>
      <c r="J218" s="156"/>
      <c r="K218" s="161"/>
    </row>
    <row r="219" spans="1:11" ht="13.5">
      <c r="A219" s="156"/>
      <c r="B219" s="164"/>
      <c r="C219" s="159"/>
      <c r="D219" s="156"/>
      <c r="E219" s="163"/>
      <c r="F219" s="156"/>
      <c r="G219" s="161"/>
      <c r="H219" s="156"/>
      <c r="I219" s="159"/>
      <c r="J219" s="156"/>
      <c r="K219" s="161"/>
    </row>
    <row r="220" spans="1:11" ht="13.5">
      <c r="A220" s="156"/>
      <c r="B220" s="164"/>
      <c r="C220" s="159"/>
      <c r="D220" s="156"/>
      <c r="E220" s="159"/>
      <c r="F220" s="156"/>
      <c r="G220" s="161"/>
      <c r="H220" s="156"/>
      <c r="I220" s="159"/>
      <c r="J220" s="156"/>
      <c r="K220" s="161"/>
    </row>
    <row r="221" spans="1:11" ht="13.5">
      <c r="A221" s="156"/>
      <c r="B221" s="164"/>
      <c r="C221" s="159"/>
      <c r="D221" s="156"/>
      <c r="E221" s="159"/>
      <c r="F221" s="156"/>
      <c r="G221" s="161"/>
      <c r="H221" s="156"/>
      <c r="I221" s="159"/>
      <c r="J221" s="156"/>
      <c r="K221" s="161"/>
    </row>
    <row r="222" spans="1:11" ht="13.5">
      <c r="A222" s="156"/>
      <c r="B222" s="164"/>
      <c r="C222" s="159"/>
      <c r="D222" s="156"/>
      <c r="E222" s="159"/>
      <c r="F222" s="156"/>
      <c r="G222" s="161"/>
      <c r="H222" s="156"/>
      <c r="I222" s="159"/>
      <c r="J222" s="156"/>
      <c r="K222" s="161"/>
    </row>
    <row r="223" spans="1:11" ht="13.5">
      <c r="A223" s="156"/>
      <c r="B223" s="164"/>
      <c r="C223" s="159"/>
      <c r="D223" s="156"/>
      <c r="E223" s="159"/>
      <c r="F223" s="156"/>
      <c r="G223" s="161"/>
      <c r="H223" s="156"/>
      <c r="I223" s="159"/>
      <c r="J223" s="156"/>
      <c r="K223" s="161"/>
    </row>
    <row r="224" spans="1:11" ht="13.5">
      <c r="A224" s="156"/>
      <c r="B224" s="164"/>
      <c r="C224" s="159"/>
      <c r="D224" s="156"/>
      <c r="E224" s="159"/>
      <c r="F224" s="156"/>
      <c r="G224" s="161"/>
      <c r="H224" s="156"/>
      <c r="I224" s="159"/>
      <c r="J224" s="156"/>
      <c r="K224" s="161"/>
    </row>
    <row r="225" spans="1:11" ht="13.5">
      <c r="A225" s="156"/>
      <c r="B225" s="164"/>
      <c r="C225" s="159"/>
      <c r="D225" s="156"/>
      <c r="E225" s="159"/>
      <c r="F225" s="156"/>
      <c r="G225" s="161"/>
      <c r="H225" s="156"/>
      <c r="I225" s="159"/>
      <c r="J225" s="156"/>
      <c r="K225" s="161"/>
    </row>
    <row r="226" spans="1:11" ht="13.5">
      <c r="A226" s="156"/>
      <c r="B226" s="164"/>
      <c r="C226" s="159"/>
      <c r="D226" s="156"/>
      <c r="E226" s="159"/>
      <c r="F226" s="156"/>
      <c r="G226" s="161"/>
      <c r="H226" s="156"/>
      <c r="I226" s="159"/>
      <c r="J226" s="156"/>
      <c r="K226" s="161"/>
    </row>
    <row r="227" spans="1:11" ht="13.5">
      <c r="A227" s="156"/>
      <c r="B227" s="164"/>
      <c r="C227" s="159"/>
      <c r="D227" s="156"/>
      <c r="E227" s="159"/>
      <c r="F227" s="156"/>
      <c r="G227" s="161"/>
      <c r="H227" s="156"/>
      <c r="I227" s="159"/>
      <c r="J227" s="156"/>
      <c r="K227" s="161"/>
    </row>
    <row r="228" spans="1:11" ht="13.5">
      <c r="A228" s="156"/>
      <c r="B228" s="164"/>
      <c r="C228" s="159"/>
      <c r="D228" s="156"/>
      <c r="E228" s="159"/>
      <c r="F228" s="156"/>
      <c r="G228" s="161"/>
      <c r="H228" s="156"/>
      <c r="I228" s="159"/>
      <c r="J228" s="156"/>
      <c r="K228" s="161"/>
    </row>
  </sheetData>
  <customSheetViews>
    <customSheetView guid="{2383B994-5DA1-4BB7-BA01-728624653006}">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FFA6C093-E866-4B92-9807-8D478A2763D4}">
      <selection activeCell="A148" sqref="A148:XFD148"/>
      <pageMargins left="0.7" right="0.7" top="0.75" bottom="0.75" header="0.3" footer="0.3"/>
      <pageSetup paperSize="17" orientation="portrait" horizontalDpi="4294967295" verticalDpi="4294967295" r:id="rId3"/>
    </customSheetView>
  </customSheetViews>
  <phoneticPr fontId="91"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53125" defaultRowHeight="15"/>
  <cols>
    <col min="1" max="1" width="18.453125" style="86" customWidth="1"/>
    <col min="2" max="2" width="9.453125" style="21" customWidth="1"/>
    <col min="3" max="3" width="21.54296875" style="21" customWidth="1"/>
    <col min="4" max="6" width="9.453125" style="21" customWidth="1"/>
    <col min="7" max="7" width="26.453125" style="21" customWidth="1"/>
    <col min="8" max="8" width="9.453125" style="21" customWidth="1"/>
    <col min="9" max="9" width="3.54296875" style="21" customWidth="1"/>
    <col min="10" max="10" width="27" style="21" customWidth="1"/>
    <col min="11" max="11" width="44.453125" style="21" customWidth="1"/>
    <col min="12" max="12" width="23" style="21" customWidth="1"/>
    <col min="13" max="13" width="9.453125" style="21" customWidth="1"/>
    <col min="14" max="14" width="81.54296875" style="21" customWidth="1"/>
    <col min="15" max="16384" width="9.453125" style="21"/>
  </cols>
  <sheetData>
    <row r="1" spans="1:14" ht="15.5">
      <c r="A1" s="86" t="s">
        <v>42</v>
      </c>
      <c r="B1" s="21">
        <v>1</v>
      </c>
      <c r="C1" s="21" t="s">
        <v>77</v>
      </c>
      <c r="D1" s="175" t="s">
        <v>15</v>
      </c>
      <c r="E1" s="21">
        <f>MATCH(D1,A1:A87)</f>
        <v>34</v>
      </c>
      <c r="F1" s="21" t="str">
        <f>VLOOKUP(E1,B1:C87,2)</f>
        <v>Husky</v>
      </c>
      <c r="G1" s="21" t="s">
        <v>78</v>
      </c>
      <c r="H1" s="21" t="str">
        <f>F1</f>
        <v>Husky</v>
      </c>
      <c r="I1" s="21" t="s">
        <v>79</v>
      </c>
      <c r="J1" s="175">
        <v>8124034</v>
      </c>
      <c r="K1" s="21" t="str">
        <f>CONCATENATE(G1,H1,I1,J1)</f>
        <v>m:\manufacturing process\Husky\8124034</v>
      </c>
      <c r="L1" s="34" t="s">
        <v>80</v>
      </c>
      <c r="M1" s="87" t="s">
        <v>113</v>
      </c>
      <c r="N1" s="21" t="s">
        <v>114</v>
      </c>
    </row>
    <row r="2" spans="1:14">
      <c r="A2" s="86" t="s">
        <v>188</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189</v>
      </c>
      <c r="B5" s="21">
        <v>5</v>
      </c>
      <c r="C5" s="21" t="s">
        <v>190</v>
      </c>
      <c r="N5" s="21" t="s">
        <v>118</v>
      </c>
    </row>
    <row r="6" spans="1:14">
      <c r="A6" s="86" t="s">
        <v>167</v>
      </c>
      <c r="B6" s="21">
        <v>6</v>
      </c>
      <c r="C6" s="21" t="s">
        <v>167</v>
      </c>
    </row>
    <row r="7" spans="1:14">
      <c r="A7" s="86" t="s">
        <v>51</v>
      </c>
      <c r="B7" s="21">
        <v>7</v>
      </c>
      <c r="C7" s="21" t="s">
        <v>81</v>
      </c>
    </row>
    <row r="8" spans="1:14">
      <c r="A8" s="86" t="s">
        <v>191</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192</v>
      </c>
      <c r="B15" s="21">
        <v>15</v>
      </c>
      <c r="C15" s="154" t="s">
        <v>193</v>
      </c>
    </row>
    <row r="16" spans="1:14">
      <c r="A16" s="86" t="s">
        <v>186</v>
      </c>
      <c r="B16" s="21">
        <v>16</v>
      </c>
      <c r="C16" s="154" t="s">
        <v>186</v>
      </c>
    </row>
    <row r="17" spans="1:3">
      <c r="A17" s="86" t="s">
        <v>194</v>
      </c>
      <c r="B17" s="21">
        <v>17</v>
      </c>
      <c r="C17" s="154" t="s">
        <v>194</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195</v>
      </c>
      <c r="B44" s="21">
        <v>44</v>
      </c>
      <c r="C44" s="21" t="s">
        <v>195</v>
      </c>
    </row>
    <row r="45" spans="1:3">
      <c r="A45" s="86" t="s">
        <v>196</v>
      </c>
      <c r="B45" s="21">
        <v>45</v>
      </c>
      <c r="C45" s="21" t="s">
        <v>196</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197</v>
      </c>
      <c r="B55" s="21">
        <v>55</v>
      </c>
      <c r="C55" s="21" t="s">
        <v>197</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198</v>
      </c>
      <c r="B62" s="21">
        <v>62</v>
      </c>
      <c r="C62" s="21" t="s">
        <v>199</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200</v>
      </c>
      <c r="B67" s="21">
        <v>67</v>
      </c>
      <c r="C67" s="21" t="s">
        <v>164</v>
      </c>
    </row>
    <row r="68" spans="1:3">
      <c r="A68" s="20" t="s">
        <v>16</v>
      </c>
      <c r="B68" s="21">
        <v>68</v>
      </c>
      <c r="C68" s="21" t="s">
        <v>15</v>
      </c>
    </row>
    <row r="69" spans="1:3">
      <c r="A69" s="20" t="s">
        <v>201</v>
      </c>
      <c r="B69" s="21">
        <v>69</v>
      </c>
      <c r="C69" s="21" t="s">
        <v>201</v>
      </c>
    </row>
    <row r="70" spans="1:3">
      <c r="A70" s="86" t="s">
        <v>104</v>
      </c>
      <c r="B70" s="21">
        <v>70</v>
      </c>
      <c r="C70" s="21" t="s">
        <v>112</v>
      </c>
    </row>
    <row r="71" spans="1:3">
      <c r="A71" s="86" t="s">
        <v>124</v>
      </c>
      <c r="B71" s="21">
        <v>71</v>
      </c>
      <c r="C71" s="21" t="s">
        <v>124</v>
      </c>
    </row>
    <row r="72" spans="1:3">
      <c r="A72" s="86" t="s">
        <v>202</v>
      </c>
      <c r="B72" s="21">
        <v>72</v>
      </c>
      <c r="C72" s="21" t="s">
        <v>181</v>
      </c>
    </row>
    <row r="73" spans="1:3">
      <c r="A73" s="86" t="s">
        <v>203</v>
      </c>
      <c r="B73" s="21">
        <v>73</v>
      </c>
      <c r="C73" s="21" t="s">
        <v>204</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205</v>
      </c>
      <c r="B78" s="21">
        <v>78</v>
      </c>
      <c r="C78" s="21" t="s">
        <v>205</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208</v>
      </c>
      <c r="B82" s="21">
        <v>82</v>
      </c>
      <c r="C82" s="21" t="s">
        <v>209</v>
      </c>
    </row>
    <row r="83" spans="1:3">
      <c r="A83" s="86" t="s">
        <v>182</v>
      </c>
      <c r="B83" s="21">
        <v>83</v>
      </c>
      <c r="C83" s="21" t="s">
        <v>182</v>
      </c>
    </row>
    <row r="84" spans="1:3">
      <c r="A84" s="86" t="s">
        <v>29</v>
      </c>
      <c r="B84" s="21">
        <v>84</v>
      </c>
      <c r="C84" s="21" t="s">
        <v>83</v>
      </c>
    </row>
    <row r="85" spans="1:3">
      <c r="A85" s="86" t="s">
        <v>206</v>
      </c>
      <c r="B85" s="21">
        <v>85</v>
      </c>
      <c r="C85" s="21" t="s">
        <v>206</v>
      </c>
    </row>
    <row r="86" spans="1:3">
      <c r="A86" s="20" t="s">
        <v>33</v>
      </c>
      <c r="B86" s="21">
        <v>86</v>
      </c>
      <c r="C86" s="21" t="s">
        <v>83</v>
      </c>
    </row>
    <row r="87" spans="1:3">
      <c r="A87" s="86" t="s">
        <v>207</v>
      </c>
      <c r="B87" s="21">
        <v>87</v>
      </c>
      <c r="C87" s="21" t="s">
        <v>207</v>
      </c>
    </row>
  </sheetData>
  <phoneticPr fontId="91" type="noConversion"/>
  <pageMargins left="0.7" right="0.7" top="0.75" bottom="0.75" header="0.3" footer="0.3"/>
  <pageSetup paperSize="17"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Sue Amichand</cp:lastModifiedBy>
  <cp:lastPrinted>2026-02-18T15:50:31Z</cp:lastPrinted>
  <dcterms:created xsi:type="dcterms:W3CDTF">2008-12-04T18:55:41Z</dcterms:created>
  <dcterms:modified xsi:type="dcterms:W3CDTF">2026-07-10T20:51:17Z</dcterms:modified>
</cp:coreProperties>
</file>