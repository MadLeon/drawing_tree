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ee\drawing_tree\reference\"/>
    </mc:Choice>
  </mc:AlternateContent>
  <xr:revisionPtr revIDLastSave="0" documentId="13_ncr:1_{A4447270-BE38-46B5-BC39-BEEFFD68CC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2" i="1" l="1"/>
  <c r="R71" i="1"/>
  <c r="R70" i="1"/>
  <c r="R69" i="1"/>
  <c r="H40" i="1"/>
  <c r="H39" i="1"/>
  <c r="H38" i="1"/>
  <c r="H37" i="1"/>
  <c r="H35" i="1"/>
  <c r="H34" i="1"/>
  <c r="H33" i="1"/>
  <c r="H32" i="1"/>
  <c r="R21" i="1"/>
  <c r="R19" i="1"/>
  <c r="J19" i="1"/>
  <c r="I19" i="1"/>
  <c r="H19" i="1"/>
  <c r="G19" i="1"/>
  <c r="F19" i="1"/>
  <c r="E19" i="1"/>
  <c r="D19" i="1"/>
  <c r="R18" i="1"/>
  <c r="J18" i="1"/>
  <c r="I18" i="1"/>
  <c r="G18" i="1"/>
  <c r="F18" i="1"/>
  <c r="E18" i="1"/>
  <c r="D18" i="1"/>
  <c r="P16" i="1"/>
  <c r="P15" i="1"/>
  <c r="H15" i="1"/>
  <c r="H18" i="1" s="1"/>
  <c r="P14" i="1"/>
  <c r="H14" i="1"/>
  <c r="P9" i="1"/>
  <c r="L9" i="1"/>
  <c r="H9" i="1"/>
  <c r="P8" i="1"/>
  <c r="L8" i="1"/>
  <c r="H8" i="1"/>
  <c r="P7" i="1"/>
  <c r="L7" i="1"/>
  <c r="H7" i="1"/>
  <c r="P6" i="1"/>
  <c r="L6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MP</author>
  </authors>
  <commentList>
    <comment ref="L2" authorId="0" shapeId="0" xr:uid="{CD9B1DA2-C151-40DC-90ED-7E7DE88B202D}">
      <text>
        <r>
          <rPr>
            <b/>
            <sz val="11"/>
            <color indexed="81"/>
            <rFont val="Vandra"/>
          </rPr>
          <t>Romania</t>
        </r>
      </text>
    </comment>
    <comment ref="O2" authorId="0" shapeId="0" xr:uid="{0F92EC7D-34B5-44E2-8DB8-F2F4BA0EA66E}">
      <text>
        <r>
          <rPr>
            <b/>
            <sz val="11"/>
            <color indexed="81"/>
            <rFont val="Vandra"/>
          </rPr>
          <t xml:space="preserve">1st Milestone 30% - Inv# 52867
2nd Milestone 30%  Inv# 53180
</t>
        </r>
      </text>
    </comment>
    <comment ref="F27" authorId="0" shapeId="0" xr:uid="{D9814BE4-169C-43BE-B0DD-6EAC528E458C}">
      <text>
        <r>
          <rPr>
            <b/>
            <sz val="11"/>
            <color indexed="81"/>
            <rFont val="Vandra"/>
          </rPr>
          <t>New Rev.AC recvd by PO REV # 16 June-17-26</t>
        </r>
      </text>
    </comment>
    <comment ref="B37" authorId="0" shapeId="0" xr:uid="{9ED305EC-0817-44D4-A344-DA828C61E3EC}">
      <text>
        <r>
          <rPr>
            <b/>
            <sz val="11"/>
            <color indexed="81"/>
            <rFont val="Vandra"/>
          </rPr>
          <t>we are making these parts in house</t>
        </r>
      </text>
    </comment>
    <comment ref="L37" authorId="0" shapeId="0" xr:uid="{7D09AE1C-08E0-4863-AB1A-A9F73A39AF56}">
      <text>
        <r>
          <rPr>
            <b/>
            <sz val="11"/>
            <color indexed="81"/>
            <rFont val="Vandra"/>
          </rPr>
          <t>contract review checklist completed</t>
        </r>
      </text>
    </comment>
    <comment ref="L40" authorId="0" shapeId="0" xr:uid="{36456C50-A7DA-4350-B078-8A17634E25B7}">
      <text>
        <r>
          <rPr>
            <b/>
            <sz val="11"/>
            <color indexed="81"/>
            <rFont val="Vandra"/>
          </rPr>
          <t>May-8-26- Olivier is making this part in China</t>
        </r>
      </text>
    </comment>
    <comment ref="F60" authorId="0" shapeId="0" xr:uid="{4ADC1C15-DAD5-4BAB-97A7-2861FA8C6F8D}">
      <text/>
    </comment>
  </commentList>
</comments>
</file>

<file path=xl/sharedStrings.xml><?xml version="1.0" encoding="utf-8"?>
<sst xmlns="http://schemas.openxmlformats.org/spreadsheetml/2006/main" count="278" uniqueCount="143">
  <si>
    <t>O.E.:</t>
  </si>
  <si>
    <t>Job #:</t>
  </si>
  <si>
    <t>Customer:</t>
  </si>
  <si>
    <t>Qty.:</t>
  </si>
  <si>
    <t>Part #</t>
  </si>
  <si>
    <t>Rev</t>
  </si>
  <si>
    <t>Contact:</t>
  </si>
  <si>
    <t>DWG Rel.</t>
  </si>
  <si>
    <t>M</t>
  </si>
  <si>
    <t>Descriptions:</t>
  </si>
  <si>
    <t>Price:</t>
  </si>
  <si>
    <t>P.O. :</t>
  </si>
  <si>
    <t>Packing Slip</t>
  </si>
  <si>
    <t>Invoice:</t>
  </si>
  <si>
    <t>Del. Req'd:</t>
  </si>
  <si>
    <t>Del. Ship'd:</t>
  </si>
  <si>
    <t>Delay:</t>
  </si>
  <si>
    <t>Candu</t>
  </si>
  <si>
    <t>RT-87840-70000-1000-1-GA-B</t>
  </si>
  <si>
    <t>Sanchia Bartley-Ndiaye</t>
  </si>
  <si>
    <t>CV FME Inspection Tool</t>
  </si>
  <si>
    <t>C.O.D</t>
  </si>
  <si>
    <t>Superwake</t>
  </si>
  <si>
    <t>S60401-101</t>
  </si>
  <si>
    <t>Travis Krebs</t>
  </si>
  <si>
    <t>Output Shaft</t>
  </si>
  <si>
    <t>Aecon Ind</t>
  </si>
  <si>
    <r>
      <t>3000641938-</t>
    </r>
    <r>
      <rPr>
        <sz val="12"/>
        <color rgb="FFFF0000"/>
        <rFont val="Calibri Light"/>
        <family val="1"/>
        <scheme val="major"/>
      </rPr>
      <t>IT-</t>
    </r>
    <r>
      <rPr>
        <b/>
        <sz val="12"/>
        <color rgb="FFFF0000"/>
        <rFont val="Calibri Light"/>
        <family val="1"/>
        <scheme val="major"/>
      </rPr>
      <t>20</t>
    </r>
  </si>
  <si>
    <t>Hardik Vyas</t>
  </si>
  <si>
    <t>1.5" Binning Cup  ( All Sizes)</t>
  </si>
  <si>
    <r>
      <t>3000641938-</t>
    </r>
    <r>
      <rPr>
        <sz val="12"/>
        <color rgb="FFFF0000"/>
        <rFont val="Calibri Light"/>
        <family val="1"/>
        <scheme val="major"/>
      </rPr>
      <t>IT-30</t>
    </r>
  </si>
  <si>
    <t>2.5" Binning Cup  ( All Sizes)</t>
  </si>
  <si>
    <r>
      <t>3000641938-</t>
    </r>
    <r>
      <rPr>
        <sz val="12"/>
        <color rgb="FFFF0000"/>
        <rFont val="Calibri Light"/>
        <family val="1"/>
        <scheme val="major"/>
      </rPr>
      <t>IT-40</t>
    </r>
  </si>
  <si>
    <r>
      <t>3000641938-</t>
    </r>
    <r>
      <rPr>
        <sz val="12"/>
        <color rgb="FFFF0000"/>
        <rFont val="Calibri Light"/>
        <family val="1"/>
        <scheme val="major"/>
      </rPr>
      <t>IT-50</t>
    </r>
  </si>
  <si>
    <t>3.0" Binnign Cup  ( All Sizes)</t>
  </si>
  <si>
    <t>Kinectric</t>
  </si>
  <si>
    <t>LOT</t>
  </si>
  <si>
    <t>Samples</t>
  </si>
  <si>
    <t>Emily</t>
  </si>
  <si>
    <t>Tubesheet Mockup &amp; removed Threads</t>
  </si>
  <si>
    <t>Hybrid</t>
  </si>
  <si>
    <t>Altrim HFH-Asy- R/w</t>
  </si>
  <si>
    <t>Peter</t>
  </si>
  <si>
    <r>
      <t xml:space="preserve">Altrim HFH 1.25mm </t>
    </r>
    <r>
      <rPr>
        <b/>
        <sz val="11"/>
        <color rgb="FFFF0000"/>
        <rFont val="Calibri Light"/>
        <family val="1"/>
        <scheme val="major"/>
      </rPr>
      <t>w/o#25-7231- Fremont</t>
    </r>
  </si>
  <si>
    <r>
      <t>Altrim HFH 1.25mm</t>
    </r>
    <r>
      <rPr>
        <b/>
        <sz val="11"/>
        <color rgb="FFFF0000"/>
        <rFont val="Calibri Light"/>
        <family val="1"/>
        <scheme val="major"/>
      </rPr>
      <t xml:space="preserve"> w/o#25-7243- St.Peters</t>
    </r>
  </si>
  <si>
    <r>
      <t xml:space="preserve">Altrim HFH 1.25mm </t>
    </r>
    <r>
      <rPr>
        <b/>
        <sz val="11"/>
        <color rgb="FFFF0000"/>
        <rFont val="Calibri Light"/>
        <family val="1"/>
        <scheme val="major"/>
      </rPr>
      <t>w/o#25-7247- St.Peters</t>
    </r>
  </si>
  <si>
    <t>MAPIR- R/W</t>
  </si>
  <si>
    <r>
      <t xml:space="preserve">4-Piston Blk- </t>
    </r>
    <r>
      <rPr>
        <b/>
        <sz val="12"/>
        <color rgb="FFFF0000"/>
        <rFont val="Calibri Light"/>
        <family val="1"/>
        <scheme val="major"/>
      </rPr>
      <t>w/o 26-7337-  Huntsville</t>
    </r>
  </si>
  <si>
    <r>
      <rPr>
        <b/>
        <sz val="10"/>
        <rFont val="Calibri Light"/>
        <family val="1"/>
        <scheme val="major"/>
      </rPr>
      <t>RT98-</t>
    </r>
    <r>
      <rPr>
        <sz val="10"/>
        <rFont val="Calibri Light"/>
        <family val="1"/>
        <scheme val="major"/>
      </rPr>
      <t>87000-PN-R018-</t>
    </r>
    <r>
      <rPr>
        <b/>
        <sz val="10"/>
        <color rgb="FFFF0000"/>
        <rFont val="Calibri Light"/>
        <family val="1"/>
        <scheme val="major"/>
      </rPr>
      <t>Rev.1</t>
    </r>
  </si>
  <si>
    <r>
      <rPr>
        <b/>
        <sz val="10"/>
        <rFont val="Calibri Light"/>
        <family val="1"/>
        <scheme val="major"/>
      </rPr>
      <t>RT98</t>
    </r>
    <r>
      <rPr>
        <sz val="10"/>
        <rFont val="Calibri Light"/>
        <family val="1"/>
        <scheme val="major"/>
      </rPr>
      <t>-87000-PN-R018-</t>
    </r>
    <r>
      <rPr>
        <b/>
        <sz val="10"/>
        <color rgb="FFFF0000"/>
        <rFont val="Calibri Light"/>
        <family val="1"/>
        <scheme val="major"/>
      </rPr>
      <t>Rev.1</t>
    </r>
  </si>
  <si>
    <t>ATS-Corp</t>
  </si>
  <si>
    <t>AB</t>
  </si>
  <si>
    <t>Scott Wilson</t>
  </si>
  <si>
    <t>3~6</t>
  </si>
  <si>
    <t>Window Cover Weldment</t>
  </si>
  <si>
    <r>
      <t>93090-</t>
    </r>
    <r>
      <rPr>
        <sz val="12"/>
        <color rgb="FFFF0000"/>
        <rFont val="Calibri Light"/>
        <family val="1"/>
        <scheme val="major"/>
      </rPr>
      <t>Rev.3</t>
    </r>
  </si>
  <si>
    <t>CT Gripper Actuator</t>
  </si>
  <si>
    <t>93095- Rev.1</t>
  </si>
  <si>
    <t>AA</t>
  </si>
  <si>
    <t>Abhijith Lakshmanan</t>
  </si>
  <si>
    <t>Stem</t>
  </si>
  <si>
    <r>
      <t>93129-</t>
    </r>
    <r>
      <rPr>
        <b/>
        <sz val="12"/>
        <color rgb="FFFF3300"/>
        <rFont val="Calibri Light"/>
        <family val="1"/>
        <scheme val="major"/>
      </rPr>
      <t xml:space="preserve"> Rev.16</t>
    </r>
  </si>
  <si>
    <t>AC</t>
  </si>
  <si>
    <t>7 &amp; 8</t>
  </si>
  <si>
    <t>Vacuuming Pipe</t>
  </si>
  <si>
    <r>
      <t xml:space="preserve">93129- </t>
    </r>
    <r>
      <rPr>
        <b/>
        <sz val="12"/>
        <color rgb="FFFF3300"/>
        <rFont val="Calibri Light"/>
        <family val="1"/>
        <scheme val="major"/>
      </rPr>
      <t>Rev.16</t>
    </r>
  </si>
  <si>
    <t>9 ~12</t>
  </si>
  <si>
    <t>Bombardier</t>
  </si>
  <si>
    <t>Tony Mazza</t>
  </si>
  <si>
    <t>Part for material testing</t>
  </si>
  <si>
    <t>BWXT Med</t>
  </si>
  <si>
    <t>K128412-742</t>
  </si>
  <si>
    <t>A</t>
  </si>
  <si>
    <t>John Ondrovcik</t>
  </si>
  <si>
    <t>2" Sanitary Adapter-HS</t>
  </si>
  <si>
    <t>K128412-738</t>
  </si>
  <si>
    <t>Bearing Housing _ Lower</t>
  </si>
  <si>
    <t>K128412-740</t>
  </si>
  <si>
    <t>Bearing Housing Asy-MID Geared</t>
  </si>
  <si>
    <t>K128412-741</t>
  </si>
  <si>
    <t>Bearing Housing Asy- Upper</t>
  </si>
  <si>
    <t>K128412-743</t>
  </si>
  <si>
    <t>Input Shaft</t>
  </si>
  <si>
    <t>K128412-744</t>
  </si>
  <si>
    <t>Idler Shaft</t>
  </si>
  <si>
    <t>K128412-745</t>
  </si>
  <si>
    <t>Gear Spacer</t>
  </si>
  <si>
    <t>K128412-746</t>
  </si>
  <si>
    <t>Shim Washer</t>
  </si>
  <si>
    <t>Stationary Tubing, Weldment</t>
  </si>
  <si>
    <r>
      <t>93366-</t>
    </r>
    <r>
      <rPr>
        <sz val="12"/>
        <color rgb="FFFF0000"/>
        <rFont val="Calibri Light"/>
        <family val="1"/>
        <scheme val="major"/>
      </rPr>
      <t xml:space="preserve"> Rev.6</t>
    </r>
  </si>
  <si>
    <t>7 ~10</t>
  </si>
  <si>
    <t>Head Rotating Shaft Weldment</t>
  </si>
  <si>
    <r>
      <t xml:space="preserve">93366- </t>
    </r>
    <r>
      <rPr>
        <sz val="12"/>
        <color rgb="FFFF0000"/>
        <rFont val="Calibri Light"/>
        <family val="1"/>
        <scheme val="major"/>
      </rPr>
      <t>Rev.6</t>
    </r>
  </si>
  <si>
    <t>11 &amp;12</t>
  </si>
  <si>
    <t>Polyson</t>
  </si>
  <si>
    <t>sample</t>
  </si>
  <si>
    <t>Danny</t>
  </si>
  <si>
    <t>Timing Hose - Rework</t>
  </si>
  <si>
    <t>Verbal</t>
  </si>
  <si>
    <t>Guide Ram Tube, Outer</t>
  </si>
  <si>
    <t>93641- Rev.1</t>
  </si>
  <si>
    <t>4 &amp; 6</t>
  </si>
  <si>
    <t>CT Gripper Adapter Plug</t>
  </si>
  <si>
    <t>8 &amp; 9</t>
  </si>
  <si>
    <t>Main Body Bar Handle</t>
  </si>
  <si>
    <t>93829-Rev.1</t>
  </si>
  <si>
    <t>10 &amp; 11</t>
  </si>
  <si>
    <t>93829-Rev.2</t>
  </si>
  <si>
    <t>14&amp;15</t>
  </si>
  <si>
    <t>Pt Extension Body</t>
  </si>
  <si>
    <t>12-13 &amp;16-18</t>
  </si>
  <si>
    <t>3~7</t>
  </si>
  <si>
    <t>Handle Short</t>
  </si>
  <si>
    <r>
      <t xml:space="preserve">93966- </t>
    </r>
    <r>
      <rPr>
        <b/>
        <sz val="12"/>
        <color rgb="FFFF0000"/>
        <rFont val="Calibri Light"/>
        <family val="1"/>
        <scheme val="major"/>
      </rPr>
      <t>Rev.10</t>
    </r>
  </si>
  <si>
    <t>8~12</t>
  </si>
  <si>
    <t>Handle Long</t>
  </si>
  <si>
    <t>13~14</t>
  </si>
  <si>
    <t>AD</t>
  </si>
  <si>
    <t>15~16</t>
  </si>
  <si>
    <t>Tie Plate</t>
  </si>
  <si>
    <t>17~18</t>
  </si>
  <si>
    <t>19~20</t>
  </si>
  <si>
    <t>Tommy Bar</t>
  </si>
  <si>
    <t>21~22</t>
  </si>
  <si>
    <r>
      <t>93966-</t>
    </r>
    <r>
      <rPr>
        <b/>
        <sz val="12"/>
        <color rgb="FFFF0000"/>
        <rFont val="Calibri Light"/>
        <family val="1"/>
        <scheme val="major"/>
      </rPr>
      <t>Rev.10</t>
    </r>
  </si>
  <si>
    <t>ABI Ltd</t>
  </si>
  <si>
    <r>
      <t>00BF339-6-</t>
    </r>
    <r>
      <rPr>
        <sz val="12"/>
        <color rgb="FFFF0000"/>
        <rFont val="Calibri Light"/>
        <family val="1"/>
        <scheme val="major"/>
      </rPr>
      <t>13.125</t>
    </r>
  </si>
  <si>
    <t>Mani M.</t>
  </si>
  <si>
    <t>Belt Flattening Idler Pipe</t>
  </si>
  <si>
    <r>
      <t>4540015346-</t>
    </r>
    <r>
      <rPr>
        <sz val="12"/>
        <color rgb="FFFF0000"/>
        <rFont val="Calibri Light"/>
        <family val="1"/>
        <scheme val="major"/>
      </rPr>
      <t>1</t>
    </r>
  </si>
  <si>
    <t>147-31912-0571-01-GA-C</t>
  </si>
  <si>
    <t>Nena Nicko</t>
  </si>
  <si>
    <t>Spacer Holder Assy</t>
  </si>
  <si>
    <t>147-31912-PN-R237</t>
  </si>
  <si>
    <t>1+1</t>
  </si>
  <si>
    <t>Justin LaFrance</t>
  </si>
  <si>
    <t>1 &amp; 2</t>
  </si>
  <si>
    <t>Chute Long Piece</t>
  </si>
  <si>
    <t>94342- Rev.2</t>
  </si>
  <si>
    <t>4~8</t>
  </si>
  <si>
    <t>Cone With Flange</t>
  </si>
  <si>
    <r>
      <rPr>
        <b/>
        <sz val="11.5"/>
        <rFont val="Calibri Light"/>
        <family val="1"/>
        <scheme val="major"/>
      </rPr>
      <t>RT79</t>
    </r>
    <r>
      <rPr>
        <sz val="11.5"/>
        <rFont val="Calibri Light"/>
        <family val="1"/>
        <scheme val="major"/>
      </rPr>
      <t>-87840-PN-R002-</t>
    </r>
    <r>
      <rPr>
        <b/>
        <sz val="11.5"/>
        <rFont val="Calibri Light"/>
        <family val="1"/>
        <scheme val="major"/>
      </rPr>
      <t>R.1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</si>
</sst>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;@"/>
    <numFmt numFmtId="165" formatCode="&quot;$&quot;#,##0.00"/>
    <numFmt numFmtId="166" formatCode="[$-409]d\-mmm\-yy;@"/>
    <numFmt numFmtId="167" formatCode="mm/dd/yy;@"/>
  </numFmts>
  <fonts count="18" x14ac:knownFonts="1">
    <font>
      <sz val="11"/>
      <color theme="1"/>
      <name val="Calibri"/>
      <family val="2"/>
      <scheme val="minor"/>
    </font>
    <font>
      <sz val="12"/>
      <color rgb="FFFF0000"/>
      <name val="Calibri Light"/>
      <family val="1"/>
      <scheme val="major"/>
    </font>
    <font>
      <b/>
      <sz val="12"/>
      <color rgb="FFFF0000"/>
      <name val="Calibri Light"/>
      <family val="1"/>
      <scheme val="major"/>
    </font>
    <font>
      <b/>
      <sz val="10"/>
      <color rgb="FFFF0000"/>
      <name val="Calibri Light"/>
      <family val="1"/>
      <scheme val="major"/>
    </font>
    <font>
      <b/>
      <sz val="11"/>
      <color indexed="81"/>
      <name val="Vandra"/>
    </font>
    <font>
      <b/>
      <sz val="12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rgb="FF00B050"/>
      <name val="Calibri Light"/>
      <family val="1"/>
      <scheme val="major"/>
    </font>
    <font>
      <sz val="11"/>
      <name val="Calibri Light"/>
      <family val="1"/>
      <scheme val="major"/>
    </font>
    <font>
      <b/>
      <sz val="11"/>
      <color rgb="FFFF0000"/>
      <name val="Calibri Light"/>
      <family val="1"/>
      <scheme val="major"/>
    </font>
    <font>
      <sz val="10"/>
      <name val="Calibri Light"/>
      <family val="1"/>
      <scheme val="major"/>
    </font>
    <font>
      <b/>
      <sz val="10"/>
      <name val="Calibri Light"/>
      <family val="1"/>
      <scheme val="major"/>
    </font>
    <font>
      <b/>
      <sz val="12"/>
      <color rgb="FFFF3300"/>
      <name val="Calibri Light"/>
      <family val="1"/>
      <scheme val="major"/>
    </font>
    <font>
      <sz val="7"/>
      <name val="Calibri Light"/>
      <family val="1"/>
      <scheme val="major"/>
    </font>
    <font>
      <sz val="10"/>
      <name val="Arial"/>
      <family val="2"/>
    </font>
    <font>
      <sz val="11.5"/>
      <name val="Calibri Light"/>
      <family val="1"/>
      <scheme val="major"/>
    </font>
    <font>
      <b/>
      <sz val="11.5"/>
      <name val="Calibri Light"/>
      <family val="1"/>
      <scheme val="maj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0" fontId="2" fillId="0" borderId="0" xfId="0" applyFont="1" applyFill="1" applyAlignment="1" applyProtection="1">
      <alignment horizontal="center"/>
      <protection locked="0"/>
    </xf>
    <xf numFmtId="0" fontId="5" fillId="0" borderId="0" xfId="0" applyFont="1" applyFill="1" applyAlignment="1" applyProtection="1">
      <alignment horizontal="center"/>
      <protection locked="0"/>
    </xf>
    <xf numFmtId="0" fontId="6" fillId="0" borderId="0" xfId="0" applyFont="1" applyFill="1" applyProtection="1">
      <protection locked="0"/>
    </xf>
    <xf numFmtId="0" fontId="6" fillId="0" borderId="0" xfId="0" applyFont="1" applyFill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left"/>
      <protection locked="0"/>
    </xf>
    <xf numFmtId="164" fontId="6" fillId="0" borderId="0" xfId="0" applyNumberFormat="1" applyFont="1" applyFill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165" fontId="6" fillId="0" borderId="0" xfId="0" applyNumberFormat="1" applyFont="1" applyFill="1" applyAlignment="1" applyProtection="1">
      <alignment horizontal="center" vertical="center"/>
      <protection locked="0"/>
    </xf>
    <xf numFmtId="0" fontId="7" fillId="0" borderId="0" xfId="0" applyFont="1" applyFill="1" applyAlignment="1" applyProtection="1">
      <alignment horizontal="center"/>
      <protection locked="0"/>
    </xf>
    <xf numFmtId="166" fontId="6" fillId="0" borderId="0" xfId="0" applyNumberFormat="1" applyFont="1" applyFill="1" applyAlignment="1" applyProtection="1">
      <alignment horizontal="center"/>
      <protection locked="0"/>
    </xf>
    <xf numFmtId="0" fontId="8" fillId="0" borderId="0" xfId="0" applyFont="1" applyFill="1" applyProtection="1"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167" fontId="6" fillId="0" borderId="0" xfId="0" applyNumberFormat="1" applyFont="1" applyFill="1" applyAlignment="1" applyProtection="1">
      <alignment horizontal="center"/>
      <protection locked="0"/>
    </xf>
    <xf numFmtId="1" fontId="6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 applyProtection="1">
      <alignment horizontal="center"/>
      <protection locked="0"/>
    </xf>
    <xf numFmtId="16" fontId="6" fillId="0" borderId="0" xfId="0" applyNumberFormat="1" applyFont="1" applyFill="1" applyAlignment="1" applyProtection="1">
      <alignment horizontal="center" vertical="center"/>
      <protection locked="0"/>
    </xf>
    <xf numFmtId="0" fontId="13" fillId="0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7" fillId="0" borderId="0" xfId="0" applyFont="1" applyFill="1"/>
    <xf numFmtId="0" fontId="17" fillId="0" borderId="0" xfId="0" applyFont="1"/>
  </cellXfs>
  <cellStyles count="1">
    <cellStyle name="Normal" xfId="0" builtinId="0"/>
  </cellStyles>
  <dxfs count="17"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  <dxf>
      <font>
        <strike/>
        <condense val="0"/>
        <extend val="0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file:///\\rtdnas2\Drawings\A.E.C.L%20(CANDU)\RT79-87840-RFP-R002%20-%20CV%20FME%20INSPECTION%20TOOL%20FOR%20C1R\Rev%202%20RFP%20Document%20-%20RT79-87840-RFP-R002%20-%20CV%20FME%20INSPECTION%20TOOL%20FOR%20C1R\RT-87840-70000-1000-1-GA-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abSelected="1" workbookViewId="0">
      <selection activeCell="H11" sqref="H11"/>
    </sheetView>
  </sheetViews>
  <sheetFormatPr defaultRowHeight="15" x14ac:dyDescent="0.25"/>
  <cols>
    <col min="1" max="1" width="7.28515625" bestFit="1" customWidth="1"/>
    <col min="2" max="2" width="7.7109375" bestFit="1" customWidth="1"/>
    <col min="3" max="3" width="12.140625" bestFit="1" customWidth="1"/>
    <col min="4" max="4" width="5.28515625" bestFit="1" customWidth="1"/>
    <col min="5" max="5" width="32.5703125" bestFit="1" customWidth="1"/>
    <col min="6" max="6" width="4.28515625" bestFit="1" customWidth="1"/>
    <col min="7" max="7" width="21.7109375" bestFit="1" customWidth="1"/>
    <col min="8" max="8" width="9.28515625" bestFit="1" customWidth="1"/>
    <col min="9" max="9" width="8.28515625" bestFit="1" customWidth="1"/>
    <col min="10" max="10" width="43.5703125" bestFit="1" customWidth="1"/>
    <col min="11" max="11" width="14.7109375" bestFit="1" customWidth="1"/>
    <col min="12" max="12" width="25.5703125" bestFit="1" customWidth="1"/>
    <col min="13" max="13" width="11.42578125" bestFit="1" customWidth="1"/>
    <col min="14" max="14" width="5.28515625" bestFit="1" customWidth="1"/>
    <col min="15" max="15" width="8" bestFit="1" customWidth="1"/>
    <col min="16" max="16" width="11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s="23" customFormat="1" ht="15.75" x14ac:dyDescent="0.25">
      <c r="A2" s="5">
        <v>38935</v>
      </c>
      <c r="B2" s="3">
        <v>72517</v>
      </c>
      <c r="C2" s="4" t="s">
        <v>17</v>
      </c>
      <c r="D2" s="5">
        <v>3</v>
      </c>
      <c r="E2" s="6" t="s">
        <v>18</v>
      </c>
      <c r="F2" s="5"/>
      <c r="G2" s="20" t="s">
        <v>19</v>
      </c>
      <c r="H2" s="7">
        <v>45835</v>
      </c>
      <c r="I2" s="8">
        <v>1</v>
      </c>
      <c r="J2" s="4" t="s">
        <v>20</v>
      </c>
      <c r="K2" s="9">
        <v>253143</v>
      </c>
      <c r="L2" s="21" t="s">
        <v>142</v>
      </c>
      <c r="M2" s="3"/>
      <c r="N2" s="8"/>
      <c r="O2" s="3"/>
      <c r="P2" s="11">
        <v>45978</v>
      </c>
      <c r="Q2" s="22"/>
      <c r="R2" s="22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x14ac:dyDescent="0.25">
      <c r="A4" s="2" t="s">
        <v>21</v>
      </c>
      <c r="B4" s="3">
        <v>72855</v>
      </c>
      <c r="C4" s="4" t="s">
        <v>22</v>
      </c>
      <c r="D4" s="5">
        <v>3</v>
      </c>
      <c r="E4" s="6" t="s">
        <v>23</v>
      </c>
      <c r="F4" s="5"/>
      <c r="G4" s="4" t="s">
        <v>24</v>
      </c>
      <c r="H4" s="7">
        <v>45937</v>
      </c>
      <c r="I4" s="8"/>
      <c r="J4" s="4" t="s">
        <v>25</v>
      </c>
      <c r="K4" s="9"/>
      <c r="L4" s="8"/>
      <c r="M4" s="2"/>
      <c r="N4" s="8"/>
      <c r="O4" s="10"/>
      <c r="P4" s="11">
        <v>45937</v>
      </c>
      <c r="Q4" s="1"/>
      <c r="R4" s="1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.75" x14ac:dyDescent="0.25">
      <c r="A6" s="5">
        <v>39250</v>
      </c>
      <c r="B6" s="3">
        <v>73110</v>
      </c>
      <c r="C6" s="4" t="s">
        <v>26</v>
      </c>
      <c r="D6" s="5">
        <v>3</v>
      </c>
      <c r="E6" s="6" t="s">
        <v>27</v>
      </c>
      <c r="F6" s="5"/>
      <c r="G6" s="4" t="s">
        <v>28</v>
      </c>
      <c r="H6" s="7">
        <f>$H$154</f>
        <v>0</v>
      </c>
      <c r="I6" s="8">
        <v>20</v>
      </c>
      <c r="J6" s="4" t="s">
        <v>29</v>
      </c>
      <c r="K6" s="9">
        <v>4435</v>
      </c>
      <c r="L6" s="8">
        <f>$L$175</f>
        <v>0</v>
      </c>
      <c r="M6" s="2"/>
      <c r="N6" s="8"/>
      <c r="O6" s="10"/>
      <c r="P6" s="11">
        <f>$P$154</f>
        <v>0</v>
      </c>
      <c r="Q6" s="1"/>
      <c r="R6" s="1"/>
    </row>
    <row r="7" spans="1:18" ht="15.75" x14ac:dyDescent="0.25">
      <c r="A7" s="5">
        <v>39250</v>
      </c>
      <c r="B7" s="3">
        <v>73110</v>
      </c>
      <c r="C7" s="4" t="s">
        <v>26</v>
      </c>
      <c r="D7" s="5">
        <v>3</v>
      </c>
      <c r="E7" s="6" t="s">
        <v>30</v>
      </c>
      <c r="F7" s="5"/>
      <c r="G7" s="4" t="s">
        <v>28</v>
      </c>
      <c r="H7" s="7">
        <f>$H$154</f>
        <v>0</v>
      </c>
      <c r="I7" s="8">
        <v>30</v>
      </c>
      <c r="J7" s="4" t="s">
        <v>31</v>
      </c>
      <c r="K7" s="9">
        <v>4580</v>
      </c>
      <c r="L7" s="8">
        <f>$L$175</f>
        <v>0</v>
      </c>
      <c r="M7" s="2"/>
      <c r="N7" s="8"/>
      <c r="O7" s="10"/>
      <c r="P7" s="11">
        <f>$P$154</f>
        <v>0</v>
      </c>
      <c r="Q7" s="1"/>
      <c r="R7" s="1"/>
    </row>
    <row r="8" spans="1:18" ht="15.75" x14ac:dyDescent="0.25">
      <c r="A8" s="5">
        <v>39250</v>
      </c>
      <c r="B8" s="3">
        <v>73110</v>
      </c>
      <c r="C8" s="4" t="s">
        <v>26</v>
      </c>
      <c r="D8" s="5">
        <v>3</v>
      </c>
      <c r="E8" s="6" t="s">
        <v>32</v>
      </c>
      <c r="F8" s="5"/>
      <c r="G8" s="4" t="s">
        <v>28</v>
      </c>
      <c r="H8" s="7">
        <f>$H$154</f>
        <v>0</v>
      </c>
      <c r="I8" s="8">
        <v>40</v>
      </c>
      <c r="J8" s="4" t="s">
        <v>31</v>
      </c>
      <c r="K8" s="9">
        <v>5200</v>
      </c>
      <c r="L8" s="8">
        <f>$L$175</f>
        <v>0</v>
      </c>
      <c r="M8" s="2"/>
      <c r="N8" s="8"/>
      <c r="O8" s="10"/>
      <c r="P8" s="11">
        <f>$P$154</f>
        <v>0</v>
      </c>
      <c r="Q8" s="1"/>
      <c r="R8" s="1"/>
    </row>
    <row r="9" spans="1:18" ht="15.75" x14ac:dyDescent="0.25">
      <c r="A9" s="5">
        <v>39250</v>
      </c>
      <c r="B9" s="3">
        <v>73110</v>
      </c>
      <c r="C9" s="4" t="s">
        <v>26</v>
      </c>
      <c r="D9" s="5">
        <v>3</v>
      </c>
      <c r="E9" s="6" t="s">
        <v>33</v>
      </c>
      <c r="F9" s="5"/>
      <c r="G9" s="4" t="s">
        <v>28</v>
      </c>
      <c r="H9" s="7">
        <f>$H$154</f>
        <v>0</v>
      </c>
      <c r="I9" s="8">
        <v>50</v>
      </c>
      <c r="J9" s="4" t="s">
        <v>34</v>
      </c>
      <c r="K9" s="9">
        <v>5966</v>
      </c>
      <c r="L9" s="8">
        <f>$L$175</f>
        <v>0</v>
      </c>
      <c r="M9" s="2"/>
      <c r="N9" s="8"/>
      <c r="O9" s="10"/>
      <c r="P9" s="11">
        <f>$P$154</f>
        <v>0</v>
      </c>
      <c r="Q9" s="1"/>
      <c r="R9" s="1"/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.75" x14ac:dyDescent="0.25">
      <c r="A11" s="5">
        <v>39281</v>
      </c>
      <c r="B11" s="3">
        <v>73155</v>
      </c>
      <c r="C11" s="4" t="s">
        <v>35</v>
      </c>
      <c r="D11" s="5" t="s">
        <v>36</v>
      </c>
      <c r="E11" s="6" t="s">
        <v>37</v>
      </c>
      <c r="F11" s="5"/>
      <c r="G11" s="4" t="s">
        <v>38</v>
      </c>
      <c r="H11" s="7">
        <v>46112</v>
      </c>
      <c r="I11" s="8"/>
      <c r="J11" s="4" t="s">
        <v>39</v>
      </c>
      <c r="K11" s="9"/>
      <c r="L11" s="8"/>
      <c r="M11" s="2"/>
      <c r="N11" s="8"/>
      <c r="O11" s="10"/>
      <c r="P11" s="11">
        <v>46115</v>
      </c>
      <c r="Q11" s="1"/>
      <c r="R11" s="1"/>
    </row>
    <row r="12" spans="1:18" ht="15.75" x14ac:dyDescent="0.25">
      <c r="A12" s="5"/>
      <c r="B12" s="3"/>
      <c r="C12" s="4"/>
      <c r="D12" s="5"/>
      <c r="E12" s="6"/>
      <c r="F12" s="5"/>
      <c r="G12" s="4"/>
      <c r="H12" s="7"/>
      <c r="I12" s="8"/>
      <c r="J12" s="4"/>
      <c r="K12" s="9"/>
      <c r="L12" s="8"/>
      <c r="M12" s="2"/>
      <c r="N12" s="8"/>
      <c r="O12" s="10"/>
      <c r="P12" s="11"/>
      <c r="Q12" s="1"/>
      <c r="R12" s="1"/>
    </row>
    <row r="13" spans="1:18" ht="15.75" x14ac:dyDescent="0.25">
      <c r="A13" s="5">
        <v>39284</v>
      </c>
      <c r="B13" s="3">
        <v>73158</v>
      </c>
      <c r="C13" s="4" t="s">
        <v>40</v>
      </c>
      <c r="D13" s="5">
        <v>1</v>
      </c>
      <c r="E13" s="6" t="s">
        <v>41</v>
      </c>
      <c r="F13" s="5"/>
      <c r="G13" s="4" t="s">
        <v>42</v>
      </c>
      <c r="H13" s="7">
        <v>46118</v>
      </c>
      <c r="I13" s="8">
        <v>1</v>
      </c>
      <c r="J13" s="12" t="s">
        <v>43</v>
      </c>
      <c r="K13" s="9">
        <v>1585</v>
      </c>
      <c r="L13" s="8">
        <v>19741</v>
      </c>
      <c r="M13" s="2">
        <v>45122</v>
      </c>
      <c r="N13" s="8">
        <v>1</v>
      </c>
      <c r="O13" s="10">
        <v>53343</v>
      </c>
      <c r="P13" s="11">
        <v>46136</v>
      </c>
      <c r="Q13" s="1"/>
      <c r="R13" s="1"/>
    </row>
    <row r="14" spans="1:18" ht="15.75" x14ac:dyDescent="0.25">
      <c r="A14" s="5">
        <v>39284</v>
      </c>
      <c r="B14" s="3">
        <v>73159</v>
      </c>
      <c r="C14" s="4" t="s">
        <v>40</v>
      </c>
      <c r="D14" s="5">
        <v>1</v>
      </c>
      <c r="E14" s="6" t="s">
        <v>41</v>
      </c>
      <c r="F14" s="5"/>
      <c r="G14" s="4" t="s">
        <v>42</v>
      </c>
      <c r="H14" s="7">
        <f>$H$204</f>
        <v>0</v>
      </c>
      <c r="I14" s="8">
        <v>2</v>
      </c>
      <c r="J14" s="12" t="s">
        <v>44</v>
      </c>
      <c r="K14" s="9">
        <v>1585</v>
      </c>
      <c r="L14" s="8">
        <v>19741</v>
      </c>
      <c r="M14" s="2">
        <v>45122</v>
      </c>
      <c r="N14" s="8">
        <v>1</v>
      </c>
      <c r="O14" s="10">
        <v>53343</v>
      </c>
      <c r="P14" s="11">
        <f>$P$204</f>
        <v>0</v>
      </c>
      <c r="Q14" s="1"/>
      <c r="R14" s="1"/>
    </row>
    <row r="15" spans="1:18" ht="15.75" x14ac:dyDescent="0.25">
      <c r="A15" s="5">
        <v>39284</v>
      </c>
      <c r="B15" s="3">
        <v>73160</v>
      </c>
      <c r="C15" s="4" t="s">
        <v>40</v>
      </c>
      <c r="D15" s="5">
        <v>1</v>
      </c>
      <c r="E15" s="6" t="s">
        <v>41</v>
      </c>
      <c r="F15" s="5"/>
      <c r="G15" s="4" t="s">
        <v>42</v>
      </c>
      <c r="H15" s="7">
        <f>$H$204</f>
        <v>0</v>
      </c>
      <c r="I15" s="8">
        <v>3</v>
      </c>
      <c r="J15" s="12" t="s">
        <v>45</v>
      </c>
      <c r="K15" s="9">
        <v>1585</v>
      </c>
      <c r="L15" s="8">
        <v>19741</v>
      </c>
      <c r="M15" s="2">
        <v>45122</v>
      </c>
      <c r="N15" s="8">
        <v>1</v>
      </c>
      <c r="O15" s="10">
        <v>53343</v>
      </c>
      <c r="P15" s="11">
        <f>$P$204</f>
        <v>0</v>
      </c>
      <c r="Q15" s="1"/>
      <c r="R15" s="1"/>
    </row>
    <row r="16" spans="1:18" ht="15.75" x14ac:dyDescent="0.25">
      <c r="A16" s="5">
        <v>39284</v>
      </c>
      <c r="B16" s="3">
        <v>73161</v>
      </c>
      <c r="C16" s="4" t="s">
        <v>40</v>
      </c>
      <c r="D16" s="5">
        <v>1</v>
      </c>
      <c r="E16" s="6" t="s">
        <v>46</v>
      </c>
      <c r="F16" s="5"/>
      <c r="G16" s="4" t="s">
        <v>42</v>
      </c>
      <c r="H16" s="7">
        <v>46118</v>
      </c>
      <c r="I16" s="8">
        <v>4</v>
      </c>
      <c r="J16" s="4" t="s">
        <v>47</v>
      </c>
      <c r="K16" s="9">
        <v>940</v>
      </c>
      <c r="L16" s="8">
        <v>19741</v>
      </c>
      <c r="M16" s="2">
        <v>45123</v>
      </c>
      <c r="N16" s="8">
        <v>1</v>
      </c>
      <c r="O16" s="10">
        <v>53343</v>
      </c>
      <c r="P16" s="11">
        <f>$P$204</f>
        <v>0</v>
      </c>
      <c r="Q16" s="1"/>
      <c r="R16" s="1"/>
    </row>
    <row r="17" spans="1: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.75" x14ac:dyDescent="0.25">
      <c r="A18" s="5">
        <v>39291</v>
      </c>
      <c r="B18" s="3">
        <v>73169</v>
      </c>
      <c r="C18" s="4" t="s">
        <v>17</v>
      </c>
      <c r="D18" s="5">
        <f t="shared" ref="D18:J19" si="0">D15</f>
        <v>1</v>
      </c>
      <c r="E18" s="6" t="str">
        <f t="shared" si="0"/>
        <v>Altrim HFH-Asy- R/w</v>
      </c>
      <c r="F18" s="5">
        <f t="shared" si="0"/>
        <v>0</v>
      </c>
      <c r="G18" s="4" t="str">
        <f t="shared" si="0"/>
        <v>Peter</v>
      </c>
      <c r="H18" s="7">
        <f t="shared" si="0"/>
        <v>0</v>
      </c>
      <c r="I18" s="13">
        <f t="shared" si="0"/>
        <v>3</v>
      </c>
      <c r="J18" s="4" t="str">
        <f t="shared" si="0"/>
        <v>Altrim HFH 1.25mm w/o#25-7247- St.Peters</v>
      </c>
      <c r="K18" s="9">
        <v>1987</v>
      </c>
      <c r="L18" s="14" t="s">
        <v>48</v>
      </c>
      <c r="M18" s="2"/>
      <c r="N18" s="8"/>
      <c r="O18" s="10"/>
      <c r="P18" s="11">
        <v>46188</v>
      </c>
      <c r="Q18" s="15"/>
      <c r="R18" s="16" t="str">
        <f t="shared" ref="R18:R19" si="1">IF(SUM(Q18)&gt;0,SUM(Q18-P18),"")</f>
        <v/>
      </c>
    </row>
    <row r="19" spans="1:18" ht="15.75" x14ac:dyDescent="0.25">
      <c r="A19" s="5">
        <v>39291</v>
      </c>
      <c r="B19" s="3">
        <v>73170</v>
      </c>
      <c r="C19" s="4" t="s">
        <v>17</v>
      </c>
      <c r="D19" s="5">
        <f t="shared" si="0"/>
        <v>1</v>
      </c>
      <c r="E19" s="6" t="str">
        <f t="shared" si="0"/>
        <v>MAPIR- R/W</v>
      </c>
      <c r="F19" s="5">
        <f t="shared" si="0"/>
        <v>0</v>
      </c>
      <c r="G19" s="4" t="str">
        <f t="shared" si="0"/>
        <v>Peter</v>
      </c>
      <c r="H19" s="7">
        <f t="shared" si="0"/>
        <v>46118</v>
      </c>
      <c r="I19" s="13">
        <f t="shared" si="0"/>
        <v>4</v>
      </c>
      <c r="J19" s="4" t="str">
        <f t="shared" si="0"/>
        <v>4-Piston Blk- w/o 26-7337-  Huntsville</v>
      </c>
      <c r="K19" s="9">
        <v>2259</v>
      </c>
      <c r="L19" s="14" t="s">
        <v>49</v>
      </c>
      <c r="M19" s="2"/>
      <c r="N19" s="8"/>
      <c r="O19" s="10"/>
      <c r="P19" s="11">
        <v>46188</v>
      </c>
      <c r="Q19" s="15"/>
      <c r="R19" s="16" t="str">
        <f t="shared" si="1"/>
        <v/>
      </c>
    </row>
    <row r="20" spans="1:1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.75" x14ac:dyDescent="0.25">
      <c r="A21" s="5">
        <v>39306</v>
      </c>
      <c r="B21" s="3">
        <v>73195</v>
      </c>
      <c r="C21" s="4" t="s">
        <v>50</v>
      </c>
      <c r="D21" s="5">
        <v>4</v>
      </c>
      <c r="E21" s="6">
        <v>700759338</v>
      </c>
      <c r="F21" s="5" t="s">
        <v>51</v>
      </c>
      <c r="G21" s="4" t="s">
        <v>52</v>
      </c>
      <c r="H21" s="7">
        <v>46143</v>
      </c>
      <c r="I21" s="8" t="s">
        <v>53</v>
      </c>
      <c r="J21" s="4" t="s">
        <v>54</v>
      </c>
      <c r="K21" s="9">
        <v>4660</v>
      </c>
      <c r="L21" s="8" t="s">
        <v>55</v>
      </c>
      <c r="M21" s="2"/>
      <c r="N21" s="8"/>
      <c r="O21" s="10"/>
      <c r="P21" s="11">
        <v>46262</v>
      </c>
      <c r="Q21" s="15"/>
      <c r="R21" s="16" t="str">
        <f t="shared" ref="R21" si="2">IF(SUM(Q21)&gt;0,SUM(Q21-P21),"")</f>
        <v/>
      </c>
    </row>
    <row r="22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.75" x14ac:dyDescent="0.25">
      <c r="A23" s="5">
        <v>39309</v>
      </c>
      <c r="B23" s="3">
        <v>73198</v>
      </c>
      <c r="C23" s="4" t="s">
        <v>50</v>
      </c>
      <c r="D23" s="5">
        <v>1</v>
      </c>
      <c r="E23" s="6">
        <v>700741777</v>
      </c>
      <c r="F23" s="5" t="s">
        <v>51</v>
      </c>
      <c r="G23" s="4" t="s">
        <v>52</v>
      </c>
      <c r="H23" s="7">
        <v>46148</v>
      </c>
      <c r="I23" s="8">
        <v>2</v>
      </c>
      <c r="J23" s="4" t="s">
        <v>56</v>
      </c>
      <c r="K23" s="9">
        <v>29600</v>
      </c>
      <c r="L23" s="8" t="s">
        <v>57</v>
      </c>
      <c r="M23" s="2"/>
      <c r="N23" s="8"/>
      <c r="O23" s="10"/>
      <c r="P23" s="11">
        <v>46251</v>
      </c>
      <c r="Q23" s="1"/>
      <c r="R23" s="1"/>
    </row>
    <row r="24" spans="1:18" ht="15.75" x14ac:dyDescent="0.25">
      <c r="A24" s="5">
        <v>39309</v>
      </c>
      <c r="B24" s="3">
        <v>73198</v>
      </c>
      <c r="C24" s="4" t="s">
        <v>50</v>
      </c>
      <c r="D24" s="5">
        <v>1</v>
      </c>
      <c r="E24" s="6">
        <v>700741777</v>
      </c>
      <c r="F24" s="5" t="s">
        <v>51</v>
      </c>
      <c r="G24" s="4" t="s">
        <v>52</v>
      </c>
      <c r="H24" s="7">
        <v>46149</v>
      </c>
      <c r="I24" s="8">
        <v>3</v>
      </c>
      <c r="J24" s="4" t="s">
        <v>56</v>
      </c>
      <c r="K24" s="9">
        <v>29600</v>
      </c>
      <c r="L24" s="8" t="s">
        <v>57</v>
      </c>
      <c r="M24" s="2"/>
      <c r="N24" s="8"/>
      <c r="O24" s="10"/>
      <c r="P24" s="11">
        <v>46282</v>
      </c>
      <c r="Q24" s="1"/>
      <c r="R24" s="1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.75" x14ac:dyDescent="0.25">
      <c r="A26" s="5">
        <v>39310</v>
      </c>
      <c r="B26" s="3">
        <v>73199</v>
      </c>
      <c r="C26" s="4" t="s">
        <v>50</v>
      </c>
      <c r="D26" s="5">
        <v>4</v>
      </c>
      <c r="E26" s="6">
        <v>700759343</v>
      </c>
      <c r="F26" s="5" t="s">
        <v>58</v>
      </c>
      <c r="G26" s="4" t="s">
        <v>59</v>
      </c>
      <c r="H26" s="7">
        <v>46149</v>
      </c>
      <c r="I26" s="8" t="s">
        <v>53</v>
      </c>
      <c r="J26" s="4" t="s">
        <v>60</v>
      </c>
      <c r="K26" s="9">
        <v>1689</v>
      </c>
      <c r="L26" s="8" t="s">
        <v>61</v>
      </c>
      <c r="M26" s="2"/>
      <c r="N26" s="8"/>
      <c r="O26" s="10"/>
      <c r="P26" s="11">
        <v>46255</v>
      </c>
      <c r="Q26" s="1"/>
      <c r="R26" s="1"/>
    </row>
    <row r="27" spans="1:18" ht="15.75" x14ac:dyDescent="0.25">
      <c r="A27" s="5">
        <v>39310</v>
      </c>
      <c r="B27" s="3">
        <v>73200</v>
      </c>
      <c r="C27" s="4" t="s">
        <v>50</v>
      </c>
      <c r="D27" s="5">
        <v>4</v>
      </c>
      <c r="E27" s="6">
        <v>700759354</v>
      </c>
      <c r="F27" s="17" t="s">
        <v>62</v>
      </c>
      <c r="G27" s="12" t="s">
        <v>59</v>
      </c>
      <c r="H27" s="7">
        <v>46149</v>
      </c>
      <c r="I27" s="8" t="s">
        <v>63</v>
      </c>
      <c r="J27" s="4" t="s">
        <v>64</v>
      </c>
      <c r="K27" s="9">
        <v>1160</v>
      </c>
      <c r="L27" s="8" t="s">
        <v>65</v>
      </c>
      <c r="M27" s="2"/>
      <c r="N27" s="8"/>
      <c r="O27" s="10"/>
      <c r="P27" s="11">
        <v>46206</v>
      </c>
      <c r="Q27" s="1"/>
      <c r="R27" s="1"/>
    </row>
    <row r="28" spans="1:18" ht="15.75" x14ac:dyDescent="0.25">
      <c r="A28" s="5">
        <v>39310</v>
      </c>
      <c r="B28" s="3">
        <v>73200</v>
      </c>
      <c r="C28" s="4" t="s">
        <v>50</v>
      </c>
      <c r="D28" s="5">
        <v>8</v>
      </c>
      <c r="E28" s="6">
        <v>700759354</v>
      </c>
      <c r="F28" s="17" t="s">
        <v>62</v>
      </c>
      <c r="G28" s="12" t="s">
        <v>59</v>
      </c>
      <c r="H28" s="7">
        <v>46149</v>
      </c>
      <c r="I28" s="8" t="s">
        <v>66</v>
      </c>
      <c r="J28" s="4" t="s">
        <v>64</v>
      </c>
      <c r="K28" s="9">
        <v>1160</v>
      </c>
      <c r="L28" s="8" t="s">
        <v>65</v>
      </c>
      <c r="M28" s="2"/>
      <c r="N28" s="8"/>
      <c r="O28" s="10"/>
      <c r="P28" s="11">
        <v>46255</v>
      </c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.75" x14ac:dyDescent="0.25">
      <c r="A30" s="5">
        <v>39311</v>
      </c>
      <c r="B30" s="3">
        <v>73201</v>
      </c>
      <c r="C30" s="4" t="s">
        <v>67</v>
      </c>
      <c r="D30" s="5">
        <v>1</v>
      </c>
      <c r="E30" s="6"/>
      <c r="F30" s="5"/>
      <c r="G30" s="4" t="s">
        <v>68</v>
      </c>
      <c r="H30" s="7">
        <v>46149</v>
      </c>
      <c r="I30" s="8"/>
      <c r="J30" s="4" t="s">
        <v>69</v>
      </c>
      <c r="K30" s="9"/>
      <c r="L30" s="8"/>
      <c r="M30" s="2"/>
      <c r="N30" s="8"/>
      <c r="O30" s="10"/>
      <c r="P30" s="11"/>
      <c r="Q30" s="1"/>
      <c r="R30" s="1"/>
    </row>
    <row r="31" spans="1:1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.75" x14ac:dyDescent="0.25">
      <c r="A32" s="5">
        <v>39312</v>
      </c>
      <c r="B32" s="3">
        <v>73203</v>
      </c>
      <c r="C32" s="4" t="s">
        <v>70</v>
      </c>
      <c r="D32" s="5">
        <v>5</v>
      </c>
      <c r="E32" s="6" t="s">
        <v>71</v>
      </c>
      <c r="F32" s="5" t="s">
        <v>72</v>
      </c>
      <c r="G32" s="4" t="s">
        <v>73</v>
      </c>
      <c r="H32" s="7" t="e">
        <f>#REF!</f>
        <v>#REF!</v>
      </c>
      <c r="I32" s="8">
        <v>2</v>
      </c>
      <c r="J32" s="4" t="s">
        <v>74</v>
      </c>
      <c r="K32" s="9">
        <v>910</v>
      </c>
      <c r="L32" s="8">
        <v>1116481</v>
      </c>
      <c r="M32" s="2"/>
      <c r="N32" s="8"/>
      <c r="O32" s="10"/>
      <c r="P32" s="11">
        <v>46217</v>
      </c>
      <c r="Q32" s="1"/>
      <c r="R32" s="1"/>
    </row>
    <row r="33" spans="1:18" ht="15.75" x14ac:dyDescent="0.25">
      <c r="A33" s="5">
        <v>39312</v>
      </c>
      <c r="B33" s="3">
        <v>73204</v>
      </c>
      <c r="C33" s="4" t="s">
        <v>70</v>
      </c>
      <c r="D33" s="5">
        <v>1</v>
      </c>
      <c r="E33" s="6" t="s">
        <v>75</v>
      </c>
      <c r="F33" s="5"/>
      <c r="G33" s="4" t="s">
        <v>73</v>
      </c>
      <c r="H33" s="7" t="e">
        <f>#REF!</f>
        <v>#REF!</v>
      </c>
      <c r="I33" s="8">
        <v>4</v>
      </c>
      <c r="J33" s="4" t="s">
        <v>76</v>
      </c>
      <c r="K33" s="9">
        <v>7589</v>
      </c>
      <c r="L33" s="8">
        <v>1116481</v>
      </c>
      <c r="M33" s="2"/>
      <c r="N33" s="8"/>
      <c r="O33" s="10"/>
      <c r="P33" s="11">
        <v>46217</v>
      </c>
      <c r="Q33" s="1"/>
      <c r="R33" s="1"/>
    </row>
    <row r="34" spans="1:18" ht="15.75" x14ac:dyDescent="0.25">
      <c r="A34" s="5">
        <v>39312</v>
      </c>
      <c r="B34" s="3">
        <v>73205</v>
      </c>
      <c r="C34" s="4" t="s">
        <v>70</v>
      </c>
      <c r="D34" s="5">
        <v>1</v>
      </c>
      <c r="E34" s="6" t="s">
        <v>77</v>
      </c>
      <c r="F34" s="5"/>
      <c r="G34" s="4" t="s">
        <v>73</v>
      </c>
      <c r="H34" s="7" t="e">
        <f>#REF!</f>
        <v>#REF!</v>
      </c>
      <c r="I34" s="8">
        <v>5</v>
      </c>
      <c r="J34" s="4" t="s">
        <v>78</v>
      </c>
      <c r="K34" s="9">
        <v>910</v>
      </c>
      <c r="L34" s="8">
        <v>1116481</v>
      </c>
      <c r="M34" s="2"/>
      <c r="N34" s="8"/>
      <c r="O34" s="10"/>
      <c r="P34" s="11">
        <v>46217</v>
      </c>
      <c r="Q34" s="1"/>
      <c r="R34" s="1"/>
    </row>
    <row r="35" spans="1:18" ht="15.75" x14ac:dyDescent="0.25">
      <c r="A35" s="5">
        <v>39312</v>
      </c>
      <c r="B35" s="3">
        <v>73206</v>
      </c>
      <c r="C35" s="4" t="s">
        <v>70</v>
      </c>
      <c r="D35" s="5">
        <v>1</v>
      </c>
      <c r="E35" s="6" t="s">
        <v>79</v>
      </c>
      <c r="F35" s="5"/>
      <c r="G35" s="4" t="s">
        <v>73</v>
      </c>
      <c r="H35" s="7" t="e">
        <f>#REF!</f>
        <v>#REF!</v>
      </c>
      <c r="I35" s="8">
        <v>6</v>
      </c>
      <c r="J35" s="4" t="s">
        <v>80</v>
      </c>
      <c r="K35" s="9">
        <v>5182</v>
      </c>
      <c r="L35" s="8">
        <v>1116481</v>
      </c>
      <c r="M35" s="2"/>
      <c r="N35" s="8"/>
      <c r="O35" s="10"/>
      <c r="P35" s="11">
        <v>46217</v>
      </c>
      <c r="Q35" s="1"/>
      <c r="R35" s="1"/>
    </row>
    <row r="36" spans="1:1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.75" x14ac:dyDescent="0.25">
      <c r="A37" s="5">
        <v>39314</v>
      </c>
      <c r="B37" s="3">
        <v>73208</v>
      </c>
      <c r="C37" s="4" t="s">
        <v>70</v>
      </c>
      <c r="D37" s="5">
        <v>10</v>
      </c>
      <c r="E37" s="6" t="s">
        <v>81</v>
      </c>
      <c r="F37" s="5"/>
      <c r="G37" s="4" t="s">
        <v>73</v>
      </c>
      <c r="H37" s="7">
        <f>$H$263</f>
        <v>0</v>
      </c>
      <c r="I37" s="8">
        <v>1</v>
      </c>
      <c r="J37" s="4" t="s">
        <v>82</v>
      </c>
      <c r="K37" s="9">
        <v>676</v>
      </c>
      <c r="L37" s="8">
        <v>1116533</v>
      </c>
      <c r="M37" s="2"/>
      <c r="N37" s="8"/>
      <c r="O37" s="10"/>
      <c r="P37" s="11">
        <v>46217</v>
      </c>
      <c r="Q37" s="1"/>
      <c r="R37" s="1"/>
    </row>
    <row r="38" spans="1:18" ht="15.75" x14ac:dyDescent="0.25">
      <c r="A38" s="5">
        <v>39314</v>
      </c>
      <c r="B38" s="3">
        <v>73209</v>
      </c>
      <c r="C38" s="4" t="s">
        <v>70</v>
      </c>
      <c r="D38" s="5">
        <v>10</v>
      </c>
      <c r="E38" s="6" t="s">
        <v>83</v>
      </c>
      <c r="F38" s="5"/>
      <c r="G38" s="4" t="s">
        <v>73</v>
      </c>
      <c r="H38" s="7">
        <f>$H$263</f>
        <v>0</v>
      </c>
      <c r="I38" s="8">
        <v>2</v>
      </c>
      <c r="J38" s="4" t="s">
        <v>84</v>
      </c>
      <c r="K38" s="9">
        <v>368</v>
      </c>
      <c r="L38" s="8">
        <v>1116533</v>
      </c>
      <c r="M38" s="2"/>
      <c r="N38" s="8"/>
      <c r="O38" s="10"/>
      <c r="P38" s="11">
        <v>46217</v>
      </c>
      <c r="Q38" s="1"/>
      <c r="R38" s="1"/>
    </row>
    <row r="39" spans="1:18" ht="15.75" x14ac:dyDescent="0.25">
      <c r="A39" s="5">
        <v>39314</v>
      </c>
      <c r="B39" s="3">
        <v>73210</v>
      </c>
      <c r="C39" s="4" t="s">
        <v>70</v>
      </c>
      <c r="D39" s="5">
        <v>10</v>
      </c>
      <c r="E39" s="6" t="s">
        <v>85</v>
      </c>
      <c r="F39" s="5"/>
      <c r="G39" s="4" t="s">
        <v>73</v>
      </c>
      <c r="H39" s="7">
        <f>$H$263</f>
        <v>0</v>
      </c>
      <c r="I39" s="8">
        <v>3</v>
      </c>
      <c r="J39" s="4" t="s">
        <v>86</v>
      </c>
      <c r="K39" s="9">
        <v>252</v>
      </c>
      <c r="L39" s="8">
        <v>1116533</v>
      </c>
      <c r="M39" s="2"/>
      <c r="N39" s="8"/>
      <c r="O39" s="10"/>
      <c r="P39" s="11">
        <v>46217</v>
      </c>
      <c r="Q39" s="1"/>
      <c r="R39" s="1"/>
    </row>
    <row r="40" spans="1:18" ht="15.75" x14ac:dyDescent="0.25">
      <c r="A40" s="5">
        <v>39314</v>
      </c>
      <c r="B40" s="3">
        <v>73211</v>
      </c>
      <c r="C40" s="4" t="s">
        <v>70</v>
      </c>
      <c r="D40" s="5">
        <v>40</v>
      </c>
      <c r="E40" s="6" t="s">
        <v>87</v>
      </c>
      <c r="F40" s="5"/>
      <c r="G40" s="4" t="s">
        <v>73</v>
      </c>
      <c r="H40" s="7">
        <f>$H$263</f>
        <v>0</v>
      </c>
      <c r="I40" s="8">
        <v>4</v>
      </c>
      <c r="J40" s="4" t="s">
        <v>88</v>
      </c>
      <c r="K40" s="9">
        <v>102</v>
      </c>
      <c r="L40" s="8">
        <v>1116533</v>
      </c>
      <c r="M40" s="2"/>
      <c r="N40" s="8"/>
      <c r="O40" s="10"/>
      <c r="P40" s="11">
        <v>46217</v>
      </c>
      <c r="Q40" s="1"/>
      <c r="R40" s="1"/>
    </row>
    <row r="41" spans="1:1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 x14ac:dyDescent="0.25">
      <c r="A42" s="5">
        <v>39317</v>
      </c>
      <c r="B42" s="3">
        <v>73219</v>
      </c>
      <c r="C42" s="4" t="s">
        <v>50</v>
      </c>
      <c r="D42" s="5">
        <v>4</v>
      </c>
      <c r="E42" s="6">
        <v>700759336</v>
      </c>
      <c r="F42" s="5" t="s">
        <v>62</v>
      </c>
      <c r="G42" s="4" t="s">
        <v>52</v>
      </c>
      <c r="H42" s="7">
        <v>46154</v>
      </c>
      <c r="I42" s="18" t="s">
        <v>53</v>
      </c>
      <c r="J42" s="4" t="s">
        <v>89</v>
      </c>
      <c r="K42" s="9">
        <v>13430</v>
      </c>
      <c r="L42" s="8" t="s">
        <v>90</v>
      </c>
      <c r="M42" s="2"/>
      <c r="N42" s="8"/>
      <c r="O42" s="10"/>
      <c r="P42" s="11">
        <v>46290</v>
      </c>
      <c r="Q42" s="1"/>
      <c r="R42" s="1"/>
    </row>
    <row r="43" spans="1:18" ht="15.75" x14ac:dyDescent="0.25">
      <c r="A43" s="5">
        <v>39317</v>
      </c>
      <c r="B43" s="3">
        <v>73220</v>
      </c>
      <c r="C43" s="4" t="s">
        <v>50</v>
      </c>
      <c r="D43" s="5">
        <v>4</v>
      </c>
      <c r="E43" s="6">
        <v>700759355</v>
      </c>
      <c r="F43" s="5" t="s">
        <v>62</v>
      </c>
      <c r="G43" s="4" t="s">
        <v>52</v>
      </c>
      <c r="H43" s="7">
        <v>46154</v>
      </c>
      <c r="I43" s="8" t="s">
        <v>91</v>
      </c>
      <c r="J43" s="4" t="s">
        <v>92</v>
      </c>
      <c r="K43" s="9">
        <v>8315</v>
      </c>
      <c r="L43" s="8" t="s">
        <v>93</v>
      </c>
      <c r="M43" s="2"/>
      <c r="N43" s="8"/>
      <c r="O43" s="10"/>
      <c r="P43" s="11">
        <v>46290</v>
      </c>
      <c r="Q43" s="1"/>
      <c r="R43" s="1"/>
    </row>
    <row r="44" spans="1:18" ht="15.75" x14ac:dyDescent="0.25">
      <c r="A44" s="5">
        <v>39317</v>
      </c>
      <c r="B44" s="3">
        <v>73220</v>
      </c>
      <c r="C44" s="4" t="s">
        <v>50</v>
      </c>
      <c r="D44" s="5">
        <v>2</v>
      </c>
      <c r="E44" s="6">
        <v>700759355</v>
      </c>
      <c r="F44" s="5" t="s">
        <v>62</v>
      </c>
      <c r="G44" s="4" t="s">
        <v>52</v>
      </c>
      <c r="H44" s="7">
        <v>46154</v>
      </c>
      <c r="I44" s="8" t="s">
        <v>94</v>
      </c>
      <c r="J44" s="4" t="s">
        <v>92</v>
      </c>
      <c r="K44" s="9">
        <v>8315</v>
      </c>
      <c r="L44" s="8" t="s">
        <v>93</v>
      </c>
      <c r="M44" s="2"/>
      <c r="N44" s="8"/>
      <c r="O44" s="10"/>
      <c r="P44" s="11">
        <v>46203</v>
      </c>
      <c r="Q44" s="1"/>
      <c r="R44" s="1"/>
    </row>
    <row r="45" spans="1:18" ht="15.75" x14ac:dyDescent="0.25">
      <c r="A45" s="5"/>
      <c r="B45" s="3"/>
      <c r="C45" s="4"/>
      <c r="D45" s="5"/>
      <c r="E45" s="6"/>
      <c r="F45" s="5"/>
      <c r="G45" s="4"/>
      <c r="H45" s="7"/>
      <c r="I45" s="8"/>
      <c r="J45" s="4"/>
      <c r="K45" s="9"/>
      <c r="L45" s="8"/>
      <c r="M45" s="2"/>
      <c r="N45" s="8"/>
      <c r="O45" s="10"/>
      <c r="P45" s="11"/>
      <c r="Q45" s="1"/>
      <c r="R45" s="1"/>
    </row>
    <row r="46" spans="1:18" ht="15.75" x14ac:dyDescent="0.25">
      <c r="A46" s="2" t="s">
        <v>21</v>
      </c>
      <c r="B46" s="3">
        <v>73221</v>
      </c>
      <c r="C46" s="4" t="s">
        <v>95</v>
      </c>
      <c r="D46" s="5">
        <v>4</v>
      </c>
      <c r="E46" s="6" t="s">
        <v>96</v>
      </c>
      <c r="F46" s="5"/>
      <c r="G46" s="4" t="s">
        <v>97</v>
      </c>
      <c r="H46" s="7">
        <v>46155</v>
      </c>
      <c r="I46" s="8">
        <v>1</v>
      </c>
      <c r="J46" s="4" t="s">
        <v>98</v>
      </c>
      <c r="K46" s="9"/>
      <c r="L46" s="8" t="s">
        <v>99</v>
      </c>
      <c r="M46" s="2"/>
      <c r="N46" s="8"/>
      <c r="O46" s="10"/>
      <c r="P46" s="11">
        <v>46157</v>
      </c>
      <c r="Q46" s="1"/>
      <c r="R46" s="1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x14ac:dyDescent="0.25">
      <c r="A48" s="5">
        <v>39329</v>
      </c>
      <c r="B48" s="3">
        <v>73236</v>
      </c>
      <c r="C48" s="4" t="s">
        <v>50</v>
      </c>
      <c r="D48" s="5">
        <v>1</v>
      </c>
      <c r="E48" s="6">
        <v>700741597</v>
      </c>
      <c r="F48" s="5" t="s">
        <v>51</v>
      </c>
      <c r="G48" s="4" t="s">
        <v>52</v>
      </c>
      <c r="H48" s="7">
        <v>46168</v>
      </c>
      <c r="I48" s="8">
        <v>3</v>
      </c>
      <c r="J48" s="4" t="s">
        <v>100</v>
      </c>
      <c r="K48" s="9">
        <v>14161</v>
      </c>
      <c r="L48" s="8" t="s">
        <v>101</v>
      </c>
      <c r="M48" s="2"/>
      <c r="N48" s="8"/>
      <c r="O48" s="10"/>
      <c r="P48" s="11">
        <v>46238</v>
      </c>
      <c r="Q48" s="1"/>
      <c r="R48" s="1"/>
    </row>
    <row r="49" spans="1:18" ht="15.75" x14ac:dyDescent="0.25">
      <c r="A49" s="5">
        <v>39329</v>
      </c>
      <c r="B49" s="3">
        <v>73237</v>
      </c>
      <c r="C49" s="4" t="s">
        <v>50</v>
      </c>
      <c r="D49" s="5">
        <v>2</v>
      </c>
      <c r="E49" s="6">
        <v>700821111</v>
      </c>
      <c r="F49" s="5" t="s">
        <v>51</v>
      </c>
      <c r="G49" s="4" t="s">
        <v>52</v>
      </c>
      <c r="H49" s="7">
        <v>46168</v>
      </c>
      <c r="I49" s="8" t="s">
        <v>102</v>
      </c>
      <c r="J49" s="4" t="s">
        <v>103</v>
      </c>
      <c r="K49" s="9">
        <v>3956</v>
      </c>
      <c r="L49" s="8" t="s">
        <v>101</v>
      </c>
      <c r="M49" s="2"/>
      <c r="N49" s="8"/>
      <c r="O49" s="10"/>
      <c r="P49" s="11">
        <v>46233</v>
      </c>
      <c r="Q49" s="1"/>
      <c r="R49" s="1"/>
    </row>
    <row r="50" spans="1:18" ht="15.75" x14ac:dyDescent="0.25">
      <c r="A50" s="5">
        <v>39329</v>
      </c>
      <c r="B50" s="3">
        <v>73237</v>
      </c>
      <c r="C50" s="4" t="s">
        <v>50</v>
      </c>
      <c r="D50" s="5">
        <v>1</v>
      </c>
      <c r="E50" s="6">
        <v>700821111</v>
      </c>
      <c r="F50" s="5" t="s">
        <v>51</v>
      </c>
      <c r="G50" s="4" t="s">
        <v>52</v>
      </c>
      <c r="H50" s="7">
        <v>46168</v>
      </c>
      <c r="I50" s="8">
        <v>5</v>
      </c>
      <c r="J50" s="4" t="s">
        <v>103</v>
      </c>
      <c r="K50" s="9">
        <v>3956</v>
      </c>
      <c r="L50" s="8" t="s">
        <v>101</v>
      </c>
      <c r="M50" s="2"/>
      <c r="N50" s="8"/>
      <c r="O50" s="10"/>
      <c r="P50" s="11">
        <v>46238</v>
      </c>
      <c r="Q50" s="1"/>
      <c r="R50" s="1"/>
    </row>
    <row r="51" spans="1:1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x14ac:dyDescent="0.25">
      <c r="A52" s="5">
        <v>39339</v>
      </c>
      <c r="B52" s="3">
        <v>73263</v>
      </c>
      <c r="C52" s="4" t="s">
        <v>50</v>
      </c>
      <c r="D52" s="5">
        <v>2</v>
      </c>
      <c r="E52" s="6">
        <v>700772340</v>
      </c>
      <c r="F52" s="5" t="s">
        <v>58</v>
      </c>
      <c r="G52" s="4" t="s">
        <v>52</v>
      </c>
      <c r="H52" s="7">
        <v>46177</v>
      </c>
      <c r="I52" s="8" t="s">
        <v>104</v>
      </c>
      <c r="J52" s="4" t="s">
        <v>105</v>
      </c>
      <c r="K52" s="9">
        <v>5794</v>
      </c>
      <c r="L52" s="8" t="s">
        <v>106</v>
      </c>
      <c r="M52" s="2"/>
      <c r="N52" s="8"/>
      <c r="O52" s="10"/>
      <c r="P52" s="11">
        <v>46248</v>
      </c>
      <c r="Q52" s="1"/>
      <c r="R52" s="1"/>
    </row>
    <row r="53" spans="1:18" ht="15.75" x14ac:dyDescent="0.25">
      <c r="A53" s="5">
        <v>39339</v>
      </c>
      <c r="B53" s="3">
        <v>73263</v>
      </c>
      <c r="C53" s="4" t="s">
        <v>50</v>
      </c>
      <c r="D53" s="5">
        <v>5</v>
      </c>
      <c r="E53" s="6">
        <v>700772340</v>
      </c>
      <c r="F53" s="5" t="s">
        <v>58</v>
      </c>
      <c r="G53" s="4" t="s">
        <v>52</v>
      </c>
      <c r="H53" s="7">
        <v>46178</v>
      </c>
      <c r="I53" s="8" t="s">
        <v>107</v>
      </c>
      <c r="J53" s="4" t="s">
        <v>105</v>
      </c>
      <c r="K53" s="9">
        <v>5795</v>
      </c>
      <c r="L53" s="8" t="s">
        <v>108</v>
      </c>
      <c r="M53" s="2"/>
      <c r="N53" s="8"/>
      <c r="O53" s="10"/>
      <c r="P53" s="11">
        <v>46262</v>
      </c>
      <c r="Q53" s="1"/>
      <c r="R53" s="1"/>
    </row>
    <row r="54" spans="1:18" ht="15.75" x14ac:dyDescent="0.25">
      <c r="A54" s="5">
        <v>39339</v>
      </c>
      <c r="B54" s="3">
        <v>73264</v>
      </c>
      <c r="C54" s="4" t="s">
        <v>50</v>
      </c>
      <c r="D54" s="5">
        <v>2</v>
      </c>
      <c r="E54" s="6">
        <v>700772357</v>
      </c>
      <c r="F54" s="5" t="s">
        <v>51</v>
      </c>
      <c r="G54" s="4" t="s">
        <v>52</v>
      </c>
      <c r="H54" s="7">
        <v>46177</v>
      </c>
      <c r="I54" s="8" t="s">
        <v>109</v>
      </c>
      <c r="J54" s="4" t="s">
        <v>110</v>
      </c>
      <c r="K54" s="9">
        <v>6963</v>
      </c>
      <c r="L54" s="8" t="s">
        <v>106</v>
      </c>
      <c r="M54" s="2"/>
      <c r="N54" s="8"/>
      <c r="O54" s="10"/>
      <c r="P54" s="11">
        <v>46248</v>
      </c>
      <c r="Q54" s="1"/>
      <c r="R54" s="1"/>
    </row>
    <row r="55" spans="1:18" ht="15.75" x14ac:dyDescent="0.25">
      <c r="A55" s="5">
        <v>39339</v>
      </c>
      <c r="B55" s="3">
        <v>73264</v>
      </c>
      <c r="C55" s="4" t="s">
        <v>50</v>
      </c>
      <c r="D55" s="5">
        <v>5</v>
      </c>
      <c r="E55" s="6">
        <v>700772357</v>
      </c>
      <c r="F55" s="5" t="s">
        <v>51</v>
      </c>
      <c r="G55" s="4" t="s">
        <v>52</v>
      </c>
      <c r="H55" s="7">
        <v>46177</v>
      </c>
      <c r="I55" s="19" t="s">
        <v>111</v>
      </c>
      <c r="J55" s="4" t="s">
        <v>110</v>
      </c>
      <c r="K55" s="9">
        <v>6963</v>
      </c>
      <c r="L55" s="8" t="s">
        <v>106</v>
      </c>
      <c r="M55" s="2"/>
      <c r="N55" s="8"/>
      <c r="O55" s="10"/>
      <c r="P55" s="11">
        <v>46262</v>
      </c>
      <c r="Q55" s="1"/>
      <c r="R55" s="1"/>
    </row>
    <row r="56" spans="1:1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x14ac:dyDescent="0.25">
      <c r="A57" s="5">
        <v>39345</v>
      </c>
      <c r="B57" s="3">
        <v>73270</v>
      </c>
      <c r="C57" s="4" t="s">
        <v>50</v>
      </c>
      <c r="D57" s="5">
        <v>5</v>
      </c>
      <c r="E57" s="6">
        <v>700772444</v>
      </c>
      <c r="F57" s="5" t="s">
        <v>58</v>
      </c>
      <c r="G57" s="4" t="s">
        <v>52</v>
      </c>
      <c r="H57" s="7">
        <v>46181</v>
      </c>
      <c r="I57" s="8" t="s">
        <v>112</v>
      </c>
      <c r="J57" s="4" t="s">
        <v>113</v>
      </c>
      <c r="K57" s="9">
        <v>640</v>
      </c>
      <c r="L57" s="8" t="s">
        <v>114</v>
      </c>
      <c r="M57" s="2"/>
      <c r="N57" s="8"/>
      <c r="O57" s="10"/>
      <c r="P57" s="11">
        <v>46262</v>
      </c>
      <c r="Q57" s="1"/>
      <c r="R57" s="1"/>
    </row>
    <row r="58" spans="1:18" ht="15.75" x14ac:dyDescent="0.25">
      <c r="A58" s="5">
        <v>39345</v>
      </c>
      <c r="B58" s="3">
        <v>73271</v>
      </c>
      <c r="C58" s="4" t="s">
        <v>50</v>
      </c>
      <c r="D58" s="5">
        <v>10</v>
      </c>
      <c r="E58" s="6">
        <v>700772448</v>
      </c>
      <c r="F58" s="5" t="s">
        <v>58</v>
      </c>
      <c r="G58" s="4" t="s">
        <v>52</v>
      </c>
      <c r="H58" s="7">
        <v>46181</v>
      </c>
      <c r="I58" s="8" t="s">
        <v>115</v>
      </c>
      <c r="J58" s="4" t="s">
        <v>116</v>
      </c>
      <c r="K58" s="9">
        <v>695</v>
      </c>
      <c r="L58" s="8" t="s">
        <v>114</v>
      </c>
      <c r="M58" s="2"/>
      <c r="N58" s="8"/>
      <c r="O58" s="10"/>
      <c r="P58" s="11">
        <v>46262</v>
      </c>
      <c r="Q58" s="1"/>
      <c r="R58" s="1"/>
    </row>
    <row r="59" spans="1:18" ht="15.75" x14ac:dyDescent="0.25">
      <c r="A59" s="5">
        <v>39345</v>
      </c>
      <c r="B59" s="3">
        <v>73271</v>
      </c>
      <c r="C59" s="4" t="s">
        <v>50</v>
      </c>
      <c r="D59" s="5">
        <v>4</v>
      </c>
      <c r="E59" s="6">
        <v>700772448</v>
      </c>
      <c r="F59" s="5" t="s">
        <v>58</v>
      </c>
      <c r="G59" s="4" t="s">
        <v>52</v>
      </c>
      <c r="H59" s="7">
        <v>46181</v>
      </c>
      <c r="I59" s="8" t="s">
        <v>117</v>
      </c>
      <c r="J59" s="4" t="s">
        <v>116</v>
      </c>
      <c r="K59" s="9">
        <v>695</v>
      </c>
      <c r="L59" s="8" t="s">
        <v>114</v>
      </c>
      <c r="M59" s="2"/>
      <c r="N59" s="8"/>
      <c r="O59" s="10"/>
      <c r="P59" s="11">
        <v>46223</v>
      </c>
      <c r="Q59" s="1"/>
      <c r="R59" s="1"/>
    </row>
    <row r="60" spans="1:18" ht="15.75" x14ac:dyDescent="0.25">
      <c r="A60" s="5">
        <v>39345</v>
      </c>
      <c r="B60" s="3">
        <v>73272</v>
      </c>
      <c r="C60" s="4" t="s">
        <v>50</v>
      </c>
      <c r="D60" s="5">
        <v>2</v>
      </c>
      <c r="E60" s="6">
        <v>700799360</v>
      </c>
      <c r="F60" s="2" t="s">
        <v>118</v>
      </c>
      <c r="G60" s="4" t="s">
        <v>52</v>
      </c>
      <c r="H60" s="7">
        <v>46181</v>
      </c>
      <c r="I60" s="8" t="s">
        <v>119</v>
      </c>
      <c r="J60" s="4" t="s">
        <v>120</v>
      </c>
      <c r="K60" s="9">
        <v>4642</v>
      </c>
      <c r="L60" s="8" t="s">
        <v>114</v>
      </c>
      <c r="M60" s="2"/>
      <c r="N60" s="8"/>
      <c r="O60" s="10"/>
      <c r="P60" s="11">
        <v>46223</v>
      </c>
      <c r="Q60" s="1"/>
      <c r="R60" s="1"/>
    </row>
    <row r="61" spans="1:18" ht="15.75" x14ac:dyDescent="0.25">
      <c r="A61" s="5">
        <v>39345</v>
      </c>
      <c r="B61" s="3">
        <v>73272</v>
      </c>
      <c r="C61" s="4" t="s">
        <v>50</v>
      </c>
      <c r="D61" s="5">
        <v>2</v>
      </c>
      <c r="E61" s="6">
        <v>700799360</v>
      </c>
      <c r="F61" s="2" t="s">
        <v>118</v>
      </c>
      <c r="G61" s="4" t="s">
        <v>52</v>
      </c>
      <c r="H61" s="7">
        <v>46181</v>
      </c>
      <c r="I61" s="8" t="s">
        <v>121</v>
      </c>
      <c r="J61" s="4" t="s">
        <v>120</v>
      </c>
      <c r="K61" s="9">
        <v>4642</v>
      </c>
      <c r="L61" s="8" t="s">
        <v>114</v>
      </c>
      <c r="M61" s="2"/>
      <c r="N61" s="8"/>
      <c r="O61" s="10"/>
      <c r="P61" s="11">
        <v>46262</v>
      </c>
      <c r="Q61" s="1"/>
      <c r="R61" s="1"/>
    </row>
    <row r="62" spans="1:18" ht="15.75" x14ac:dyDescent="0.25">
      <c r="A62" s="5">
        <v>39345</v>
      </c>
      <c r="B62" s="3">
        <v>73273</v>
      </c>
      <c r="C62" s="4" t="s">
        <v>50</v>
      </c>
      <c r="D62" s="5">
        <v>2</v>
      </c>
      <c r="E62" s="6">
        <v>700817215</v>
      </c>
      <c r="F62" s="5" t="s">
        <v>58</v>
      </c>
      <c r="G62" s="4" t="s">
        <v>52</v>
      </c>
      <c r="H62" s="7">
        <v>46181</v>
      </c>
      <c r="I62" s="8" t="s">
        <v>122</v>
      </c>
      <c r="J62" s="4" t="s">
        <v>123</v>
      </c>
      <c r="K62" s="9">
        <v>750</v>
      </c>
      <c r="L62" s="8" t="s">
        <v>114</v>
      </c>
      <c r="M62" s="2"/>
      <c r="N62" s="8"/>
      <c r="O62" s="10"/>
      <c r="P62" s="11">
        <v>46262</v>
      </c>
      <c r="Q62" s="1"/>
      <c r="R62" s="1"/>
    </row>
    <row r="63" spans="1:18" ht="15.75" x14ac:dyDescent="0.25">
      <c r="A63" s="5">
        <v>39345</v>
      </c>
      <c r="B63" s="3">
        <v>73273</v>
      </c>
      <c r="C63" s="4" t="s">
        <v>50</v>
      </c>
      <c r="D63" s="5">
        <v>2</v>
      </c>
      <c r="E63" s="6">
        <v>700817215</v>
      </c>
      <c r="F63" s="5" t="s">
        <v>58</v>
      </c>
      <c r="G63" s="4" t="s">
        <v>52</v>
      </c>
      <c r="H63" s="7">
        <v>46181</v>
      </c>
      <c r="I63" s="8" t="s">
        <v>124</v>
      </c>
      <c r="J63" s="4" t="s">
        <v>123</v>
      </c>
      <c r="K63" s="9">
        <v>750</v>
      </c>
      <c r="L63" s="8" t="s">
        <v>125</v>
      </c>
      <c r="M63" s="2"/>
      <c r="N63" s="8"/>
      <c r="O63" s="10"/>
      <c r="P63" s="11">
        <v>46223</v>
      </c>
      <c r="Q63" s="1"/>
      <c r="R63" s="1"/>
    </row>
    <row r="64" spans="1:1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x14ac:dyDescent="0.25">
      <c r="A65" s="5">
        <v>39364</v>
      </c>
      <c r="B65" s="3">
        <v>73306</v>
      </c>
      <c r="C65" s="4" t="s">
        <v>126</v>
      </c>
      <c r="D65" s="5">
        <v>1</v>
      </c>
      <c r="E65" s="6" t="s">
        <v>127</v>
      </c>
      <c r="F65" s="5"/>
      <c r="G65" s="4" t="s">
        <v>128</v>
      </c>
      <c r="H65" s="7">
        <v>46211</v>
      </c>
      <c r="I65" s="8">
        <v>20</v>
      </c>
      <c r="J65" s="4" t="s">
        <v>129</v>
      </c>
      <c r="K65" s="9">
        <v>1252</v>
      </c>
      <c r="L65" s="8" t="s">
        <v>130</v>
      </c>
      <c r="M65" s="2"/>
      <c r="N65" s="8"/>
      <c r="O65" s="10"/>
      <c r="P65" s="11">
        <v>46225</v>
      </c>
      <c r="Q65" s="1"/>
      <c r="R65" s="1"/>
    </row>
    <row r="66" spans="1:1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x14ac:dyDescent="0.25">
      <c r="A67" s="5">
        <v>39367</v>
      </c>
      <c r="B67" s="3">
        <v>73298</v>
      </c>
      <c r="C67" s="4" t="s">
        <v>17</v>
      </c>
      <c r="D67" s="5">
        <v>3</v>
      </c>
      <c r="E67" s="6" t="s">
        <v>131</v>
      </c>
      <c r="F67" s="5">
        <v>0</v>
      </c>
      <c r="G67" s="4" t="s">
        <v>132</v>
      </c>
      <c r="H67" s="7">
        <v>46202</v>
      </c>
      <c r="I67" s="8">
        <v>2</v>
      </c>
      <c r="J67" s="4" t="s">
        <v>133</v>
      </c>
      <c r="K67" s="9">
        <v>6862</v>
      </c>
      <c r="L67" s="8" t="s">
        <v>134</v>
      </c>
      <c r="M67" s="2"/>
      <c r="N67" s="8"/>
      <c r="O67" s="10"/>
      <c r="P67" s="11">
        <v>46280</v>
      </c>
      <c r="Q67" s="1"/>
      <c r="R67" s="1"/>
    </row>
    <row r="68" spans="1:1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x14ac:dyDescent="0.25">
      <c r="A69" s="5">
        <v>39371</v>
      </c>
      <c r="B69" s="3">
        <v>73304</v>
      </c>
      <c r="C69" s="4" t="s">
        <v>50</v>
      </c>
      <c r="D69" s="5" t="s">
        <v>135</v>
      </c>
      <c r="E69" s="6">
        <v>700661419</v>
      </c>
      <c r="F69" s="5" t="s">
        <v>62</v>
      </c>
      <c r="G69" s="4" t="s">
        <v>136</v>
      </c>
      <c r="H69" s="7">
        <v>46211</v>
      </c>
      <c r="I69" s="8" t="s">
        <v>137</v>
      </c>
      <c r="J69" s="4" t="s">
        <v>138</v>
      </c>
      <c r="K69" s="9">
        <v>5685</v>
      </c>
      <c r="L69" s="8" t="s">
        <v>139</v>
      </c>
      <c r="M69" s="2"/>
      <c r="N69" s="8"/>
      <c r="O69" s="10"/>
      <c r="P69" s="11">
        <v>46267</v>
      </c>
      <c r="Q69" s="15"/>
      <c r="R69" s="16" t="str">
        <f t="shared" ref="R69:R72" si="3">IF(SUM(Q69)&gt;0,SUM(Q69-P69),"")</f>
        <v/>
      </c>
    </row>
    <row r="70" spans="1:18" ht="15.75" x14ac:dyDescent="0.25">
      <c r="A70" s="5">
        <v>39371</v>
      </c>
      <c r="B70" s="3">
        <v>73304</v>
      </c>
      <c r="C70" s="4" t="s">
        <v>50</v>
      </c>
      <c r="D70" s="5">
        <v>1</v>
      </c>
      <c r="E70" s="6">
        <v>700661419</v>
      </c>
      <c r="F70" s="5" t="s">
        <v>62</v>
      </c>
      <c r="G70" s="4" t="s">
        <v>136</v>
      </c>
      <c r="H70" s="7">
        <v>46211</v>
      </c>
      <c r="I70" s="8">
        <v>3</v>
      </c>
      <c r="J70" s="4" t="s">
        <v>138</v>
      </c>
      <c r="K70" s="9">
        <v>6150</v>
      </c>
      <c r="L70" s="8" t="s">
        <v>139</v>
      </c>
      <c r="M70" s="2"/>
      <c r="N70" s="8"/>
      <c r="O70" s="10"/>
      <c r="P70" s="11">
        <v>46253</v>
      </c>
      <c r="Q70" s="15"/>
      <c r="R70" s="16" t="str">
        <f t="shared" si="3"/>
        <v/>
      </c>
    </row>
    <row r="71" spans="1:18" ht="15.75" x14ac:dyDescent="0.25">
      <c r="A71" s="5">
        <v>39371</v>
      </c>
      <c r="B71" s="3">
        <v>73305</v>
      </c>
      <c r="C71" s="4" t="s">
        <v>50</v>
      </c>
      <c r="D71" s="5">
        <v>5</v>
      </c>
      <c r="E71" s="6">
        <v>700867010</v>
      </c>
      <c r="F71" s="5" t="s">
        <v>51</v>
      </c>
      <c r="G71" s="4" t="s">
        <v>136</v>
      </c>
      <c r="H71" s="7">
        <v>46211</v>
      </c>
      <c r="I71" s="8" t="s">
        <v>140</v>
      </c>
      <c r="J71" s="4" t="s">
        <v>141</v>
      </c>
      <c r="K71" s="9">
        <v>4397</v>
      </c>
      <c r="L71" s="8" t="s">
        <v>139</v>
      </c>
      <c r="M71" s="2"/>
      <c r="N71" s="8"/>
      <c r="O71" s="10"/>
      <c r="P71" s="11">
        <v>46267</v>
      </c>
      <c r="Q71" s="15"/>
      <c r="R71" s="16" t="str">
        <f t="shared" si="3"/>
        <v/>
      </c>
    </row>
    <row r="72" spans="1:18" ht="15.75" x14ac:dyDescent="0.25">
      <c r="A72" s="5">
        <v>39371</v>
      </c>
      <c r="B72" s="3">
        <v>73305</v>
      </c>
      <c r="C72" s="4" t="s">
        <v>50</v>
      </c>
      <c r="D72" s="5">
        <v>1</v>
      </c>
      <c r="E72" s="6">
        <v>700867010</v>
      </c>
      <c r="F72" s="5" t="s">
        <v>51</v>
      </c>
      <c r="G72" s="4" t="s">
        <v>136</v>
      </c>
      <c r="H72" s="7">
        <v>46211</v>
      </c>
      <c r="I72" s="8">
        <v>9</v>
      </c>
      <c r="J72" s="4" t="s">
        <v>141</v>
      </c>
      <c r="K72" s="9">
        <v>4750</v>
      </c>
      <c r="L72" s="8" t="s">
        <v>139</v>
      </c>
      <c r="M72" s="2"/>
      <c r="N72" s="8"/>
      <c r="O72" s="10"/>
      <c r="P72" s="11">
        <v>46253</v>
      </c>
      <c r="Q72" s="15"/>
      <c r="R72" s="16" t="str">
        <f t="shared" si="3"/>
        <v/>
      </c>
    </row>
  </sheetData>
  <conditionalFormatting sqref="B2 B18:B19">
    <cfRule type="expression" dxfId="16" priority="18">
      <formula>Q2&gt;0</formula>
    </cfRule>
  </conditionalFormatting>
  <conditionalFormatting sqref="B4">
    <cfRule type="expression" dxfId="15" priority="17">
      <formula>Q4&gt;0</formula>
    </cfRule>
  </conditionalFormatting>
  <conditionalFormatting sqref="B6:B9">
    <cfRule type="expression" dxfId="14" priority="16">
      <formula>Q6&gt;0</formula>
    </cfRule>
  </conditionalFormatting>
  <conditionalFormatting sqref="B11:B16">
    <cfRule type="expression" dxfId="13" priority="15">
      <formula>Q11&gt;0</formula>
    </cfRule>
  </conditionalFormatting>
  <conditionalFormatting sqref="B21">
    <cfRule type="expression" dxfId="12" priority="13">
      <formula>Q21&gt;0</formula>
    </cfRule>
  </conditionalFormatting>
  <conditionalFormatting sqref="B23:B24">
    <cfRule type="expression" dxfId="11" priority="12">
      <formula>Q23&gt;0</formula>
    </cfRule>
  </conditionalFormatting>
  <conditionalFormatting sqref="B26:B28">
    <cfRule type="expression" dxfId="10" priority="11">
      <formula>Q26&gt;0</formula>
    </cfRule>
  </conditionalFormatting>
  <conditionalFormatting sqref="B30">
    <cfRule type="expression" dxfId="9" priority="10">
      <formula>Q30&gt;0</formula>
    </cfRule>
  </conditionalFormatting>
  <conditionalFormatting sqref="B32:B35">
    <cfRule type="expression" dxfId="8" priority="9">
      <formula>Q32&gt;0</formula>
    </cfRule>
  </conditionalFormatting>
  <conditionalFormatting sqref="B37:B40">
    <cfRule type="expression" dxfId="7" priority="8">
      <formula>Q37&gt;0</formula>
    </cfRule>
  </conditionalFormatting>
  <conditionalFormatting sqref="B42:B46">
    <cfRule type="expression" dxfId="6" priority="7">
      <formula>Q42&gt;0</formula>
    </cfRule>
  </conditionalFormatting>
  <conditionalFormatting sqref="B48:B50">
    <cfRule type="expression" dxfId="5" priority="6">
      <formula>Q48&gt;0</formula>
    </cfRule>
  </conditionalFormatting>
  <conditionalFormatting sqref="B52:B55">
    <cfRule type="expression" dxfId="4" priority="5">
      <formula>Q52&gt;0</formula>
    </cfRule>
  </conditionalFormatting>
  <conditionalFormatting sqref="B57:B63">
    <cfRule type="expression" dxfId="3" priority="4">
      <formula>Q57&gt;0</formula>
    </cfRule>
  </conditionalFormatting>
  <conditionalFormatting sqref="B65">
    <cfRule type="expression" dxfId="2" priority="3">
      <formula>Q65&gt;0</formula>
    </cfRule>
  </conditionalFormatting>
  <conditionalFormatting sqref="B67">
    <cfRule type="expression" dxfId="1" priority="2">
      <formula>Q67&gt;0</formula>
    </cfRule>
  </conditionalFormatting>
  <conditionalFormatting sqref="B69:B72">
    <cfRule type="expression" dxfId="0" priority="1">
      <formula>Q69&gt;0</formula>
    </cfRule>
  </conditionalFormatting>
  <hyperlinks>
    <hyperlink ref="E2" r:id="rId1" xr:uid="{690B2F10-FCE9-4CC9-8F7E-E7DFCC17B6DD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Leon</cp:lastModifiedBy>
  <dcterms:created xsi:type="dcterms:W3CDTF">2015-06-05T18:17:20Z</dcterms:created>
  <dcterms:modified xsi:type="dcterms:W3CDTF">2026-07-09T21:15:20Z</dcterms:modified>
</cp:coreProperties>
</file>